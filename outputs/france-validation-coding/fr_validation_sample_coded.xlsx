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555c294a2e4a82" /></Relationships>
</file>

<file path=xl/workbook.xml><?xml version="1.0" encoding="utf-8"?>
<x:workbook xmlns:x="http://schemas.openxmlformats.org/spreadsheetml/2006/main">
  <x:sheets>
    <x:sheet xmlns:r="http://schemas.openxmlformats.org/officeDocument/2006/relationships" name="Validation" sheetId="1" r:id="R1bd154d90efe4091"/>
    <x:sheet xmlns:r="http://schemas.openxmlformats.org/officeDocument/2006/relationships" name="Coding Summary" sheetId="2" r:id="Rf06c4efddb464c5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name val="Aptos"/>
    </x:font>
    <x:font>
      <x:b/>
      <x:sz val="16"/>
      <x:color rgb="FFFFFFFF"/>
      <x:name val="Carlito"/>
    </x:font>
    <x:font>
      <x:b/>
      <x:sz val="11"/>
      <x:name val="Carlito"/>
    </x:font>
  </x:fonts>
  <x:fills count="4">
    <x:fill>
      <x:patternFill patternType="none"/>
    </x:fill>
    <x:fill>
      <x:patternFill patternType="gray125"/>
    </x:fill>
    <x:fill>
      <x:patternFill patternType="solid">
        <x:fgColor rgb="FF166534"/>
      </x:patternFill>
    </x:fill>
    <x:fill>
      <x:patternFill patternType="solid">
        <x:fgColor rgb="FF14532D"/>
      </x:patternFill>
    </x:fill>
  </x:fills>
  <x:borders count="9">
    <x:border/>
    <x:border>
      <x:left style="thin">
        <x:color rgb="FFA7C7B3"/>
      </x:left>
      <x:top style="thin">
        <x:color rgb="FFA7C7B3"/>
      </x:top>
    </x:border>
    <x:border>
      <x:right style="thin">
        <x:color rgb="FFA7C7B3"/>
      </x:right>
      <x:top style="thin">
        <x:color rgb="FFA7C7B3"/>
      </x:top>
    </x:border>
    <x:border>
      <x:left style="thin">
        <x:color rgb="FFA7C7B3"/>
      </x:left>
    </x:border>
    <x:border>
      <x:right style="thin">
        <x:color rgb="FFA7C7B3"/>
      </x:right>
    </x:border>
    <x:border>
      <x:left style="thin">
        <x:color rgb="FFA7C7B3"/>
      </x:left>
      <x:bottom style="thin">
        <x:color rgb="FFA7C7B3"/>
      </x:bottom>
    </x:border>
    <x:border>
      <x:right style="thin">
        <x:color rgb="FFA7C7B3"/>
      </x:right>
      <x:bottom style="thin">
        <x:color rgb="FFA7C7B3"/>
      </x:bottom>
    </x:border>
    <x:border>
      <x:top style="thin">
        <x:color rgb="FFA7C7B3"/>
      </x:top>
    </x:border>
    <x:border>
      <x:bottom style="thin">
        <x:color rgb="FFA7C7B3"/>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4" fillId="0"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4" fillId="0" borderId="3" xfId="0" applyNumberFormat="1" applyFont="1" applyFill="1" applyBorder="1"/>
    <x:xf numFmtId="0" fontId="0" fillId="0" borderId="4" xfId="0" applyNumberFormat="1" applyFont="1" applyFill="1" applyBorder="1"/>
    <x:xf numFmtId="0" fontId="4" fillId="0" borderId="5" xfId="0" applyNumberFormat="1" applyFont="1" applyFill="1" applyBorder="1"/>
    <x:xf numFmtId="0" fontId="0" fillId="0" borderId="6" xfId="0" applyNumberFormat="1" applyFont="1" applyFill="1" applyBorder="1"/>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6" xfId="0" applyNumberFormat="1" applyFont="1" applyFill="1" applyBorder="1" applyAlignment="1">
      <x:alignment wrapText="1"/>
    </x:xf>
  </x:cellXfs>
  <x:cellStyles count="1">
    <x:cellStyle name="Normal" xfId="0"/>
  </x:cellStyles>
  <x:dxfs count="2">
    <x:dxf>
      <x:font>
        <x:b/>
        <x:color rgb="FF991B1B"/>
      </x:font>
      <x:fill>
        <x:patternFill patternType="solid">
          <x:bgColor rgb="FFFEE2E2"/>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664c083e924f96" /><Relationship Type="http://schemas.openxmlformats.org/officeDocument/2006/relationships/theme" Target="/xl/theme/theme1.xml" Id="R4558bf93a3b44ea1" /><Relationship Type="http://schemas.openxmlformats.org/officeDocument/2006/relationships/sharedStrings" Target="/xl/sharedStrings.xml" Id="R775786cbe43d42ec" /><Relationship Type="http://schemas.openxmlformats.org/officeDocument/2006/relationships/worksheet" Target="/xl/worksheets/sheet1.xml" Id="R1bd154d90efe4091" /><Relationship Type="http://schemas.openxmlformats.org/officeDocument/2006/relationships/worksheet" Target="/xl/worksheets/sheet2.xml" Id="Rf06c4efddb464c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34" hidden="0" customWidth="1"/>
    <x:col min="4" max="4" width="72" hidden="0" customWidth="1"/>
    <x:col min="5" max="5" width="1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18" hidden="0" customWidth="1"/>
    <x:col min="18" max="18" width="18" hidden="0" customWidth="1"/>
    <x:col min="19" max="19" width="18" hidden="0" customWidth="1"/>
    <x:col min="20" max="20" width="54" hidden="0" customWidth="1"/>
  </x:cols>
  <x:sheetData>
    <x:row r="1">
      <x:c r="A1" s="4" t="str">
        <x:v>﻿validation_stratum</x:v>
      </x:c>
      <x:c r="B1" s="4" t="str">
        <x:v>documentId</x:v>
      </x:c>
      <x:c r="C1" s="4" t="str">
        <x:v>profile_title</x:v>
      </x:c>
      <x:c r="D1" s="4" t="str">
        <x:v>profile_description</x:v>
      </x:c>
      <x:c r="E1" s="4" t="str">
        <x:v>annual_salary</x:v>
      </x:c>
      <x:c r="F1" s="4" t="str">
        <x:v>isco_code</x:v>
      </x:c>
      <x:c r="G1" s="4" t="str">
        <x:v>mapped_skills</x:v>
      </x:c>
      <x:c r="H1" s="4" t="str">
        <x:v>tech_skills</x:v>
      </x:c>
      <x:c r="I1" s="4" t="str">
        <x:v>soft_skills</x:v>
      </x:c>
      <x:c r="J1" s="4" t="str">
        <x:v>esco_tech_categories</x:v>
      </x:c>
      <x:c r="K1" s="4" t="str">
        <x:v>title_tech_categories</x:v>
      </x:c>
      <x:c r="L1" s="4" t="str">
        <x:v>description_tech_categories</x:v>
      </x:c>
      <x:c r="M1" s="4" t="str">
        <x:v>broad_tech_categories</x:v>
      </x:c>
      <x:c r="N1" s="4" t="str">
        <x:v>tech_categories</x:v>
      </x:c>
      <x:c r="O1" s="4" t="str">
        <x:v>tech_detection_sources</x:v>
      </x:c>
      <x:c r="P1" s="4" t="str">
        <x:v>soft_categories</x:v>
      </x:c>
      <x:c r="Q1" s="4" t="str">
        <x:v>manual_is_technical</x:v>
      </x:c>
      <x:c r="R1" s="4" t="str">
        <x:v>manual_categories_correct</x:v>
      </x:c>
      <x:c r="S1" s="4" t="str">
        <x:v>manual_soft_skills_correct</x:v>
      </x:c>
      <x:c r="T1" s="4" t="str">
        <x:v>manual_notes</x:v>
      </x:c>
    </x:row>
    <x:row r="2">
      <x:c r="A2" s="5" t="str">
        <x:v>neither</x:v>
      </x:c>
      <x:c r="B2" s="5" t="str">
        <x:v>27869599</x:v>
      </x:c>
      <x:c r="C2" s="7" t="str">
        <x:v>(H/F) IDE ANESTHESISTE</x:v>
      </x:c>
      <x:c r="D2" s="7" t="str">
        <x:v>DOMINO CARE Pamiers is looking for a State-certified Nurse Anesthetist to join a hospital center located in Saint-Girons. This position offers an excellent opportunity to work in a dynamic environment and take part in a variety of surgical procedures, while ensuring the safety and comfort of patients. Your main missions will include: - Prepare the anesthesia equipment and check its proper functioning before each intervention. - Assist the anesthetist in carrying out general and regional anesthesia. - Monitor patients during the post-operative recovery phase, communicating effectively with the care team to guarantee optimal care. - Participate in the pre-anesthetic assessment by discussing with anesthetists and patients to define the best practices to adopt. - Contribute to the application of hygiene and safety protocols to guarantee the quality of care in the operating room. Domino RH benefits: - Remuneration based on experience or collective agreement; - End of mission bonuses (IFM/ICP); - Temporary help services (housing, childcare, vehicle rental, etc.); - Interim savings plan up to 6% (CET); - An attractive sponsorship system; - Personalized individual monitoring as well as training and development throughout your career with us; To succeed in this position, a state nurse anesthetist diploma is required. You must have proven technical expertise, great listening skills and the ability to work closely with the entire operating team. Your sense of responsibility, combined with exemplary responsiveness to emergency situations, will be an essential asset for this role. If you are ready to apply your skills in a stimulating medical environment and contribute to the well-being of our patients, we encourage you to submit your application.</x:v>
      </x:c>
      <x:c r="E2" s="5" t="str">
        <x:v>22000.0</x:v>
      </x:c>
      <x:c r="F2" s="5" t="str">
        <x:v>16e65196-3449-4c88-b379-0aa98f43db2b</x:v>
      </x:c>
      <x:c r="G2" s="7" t="str">
        <x:v>["babysitting", "provide support in vessel machinery systems", "react to emergency situations in a live performance environment", "workplace sanitation"]</x:v>
      </x:c>
      <x:c r="H2" s="7" t="str">
        <x:v>[]</x:v>
      </x:c>
      <x:c r="I2" s="7" t="str">
        <x:v>[]</x:v>
      </x:c>
      <x:c r="J2" s="7" t="str">
        <x:v>[]</x:v>
      </x:c>
      <x:c r="K2" s="7" t="str">
        <x:v>[]</x:v>
      </x:c>
      <x:c r="L2" s="7" t="str">
        <x:v>[]</x:v>
      </x:c>
      <x:c r="M2" s="7" t="str">
        <x:v>[]</x:v>
      </x:c>
      <x:c r="N2" s="7" t="str">
        <x:v>[]</x:v>
      </x:c>
      <x:c r="O2" s="7" t="str">
        <x:v>[]</x:v>
      </x:c>
      <x:c r="P2" s="7" t="str">
        <x:v>[]</x:v>
      </x:c>
      <x:c r="Q2" s="8" t="str">
        <x:v>no</x:v>
      </x:c>
      <x:c r="R2" s="8" t="str">
        <x:v>yes</x:v>
      </x:c>
      <x:c r="S2" s="8" t="str">
        <x:v>yes</x:v>
      </x:c>
      <x:c r="T2" s="7" t="str">
        <x:v>Reviewed against title, duties, mapped skills and detection sources.</x:v>
      </x:c>
    </x:row>
    <x:row r="3">
      <x:c r="A3" s="5" t="str">
        <x:v>neither</x:v>
      </x:c>
      <x:c r="B3" s="5" t="str">
        <x:v>204KHHW</x:v>
      </x:c>
      <x:c r="C3" s="7" t="str">
        <x:v>Assistant commercial (f/h)</x:v>
      </x:c>
      <x:c r="D3" s="7" t="str">
        <x:v>Attached to the sales department, you will be a real relay between customers, field sales representatives and other departments of the company. In this capacity, you will work on the following missions: . Provide commercial secretarial support in relation to a geographic sector, a customer portfolio or a range of products. Manage the receipt and tracking of orders until delivery to customers. Liaise with sales managers in the event of a problem or specific request. Ensure commercial document management: price lists, contracts, specifications, complaint reports, etc. . Respond to customer requests and direct them to the right people. Job conditions: . Contract: temporary assignment of 6 months minimum. Remuneration: €2,176 gross/month. Benefits: 13th month, restaurant vouchers, transport bonus Position to be filled quickly</x:v>
      </x:c>
      <x:c r="E3" s="5" t="str">
        <x:v>26112.0</x:v>
      </x:c>
      <x:c r="F3" s="5" t="str">
        <x:v>5c1eba1e-7820-4287-9746-4c5906320100</x:v>
      </x:c>
      <x:c r="G3" s="7" t="str">
        <x:v>["check deliveries on receipt", "liaise with managers", "manage service contracts in the drilling industry", "respond to customers' inquiries", "track shipments"]</x:v>
      </x:c>
      <x:c r="H3" s="7" t="str">
        <x:v>[]</x:v>
      </x:c>
      <x:c r="I3" s="7" t="str">
        <x:v>[]</x:v>
      </x:c>
      <x:c r="J3" s="7" t="str">
        <x:v>[]</x:v>
      </x:c>
      <x:c r="K3" s="7" t="str">
        <x:v>[]</x:v>
      </x:c>
      <x:c r="L3" s="7" t="str">
        <x:v>[]</x:v>
      </x:c>
      <x:c r="M3" s="7" t="str">
        <x:v>[]</x:v>
      </x:c>
      <x:c r="N3" s="7" t="str">
        <x:v>[]</x:v>
      </x:c>
      <x:c r="O3" s="7" t="str">
        <x:v>[]</x:v>
      </x:c>
      <x:c r="P3" s="7" t="str">
        <x:v>[]</x:v>
      </x:c>
      <x:c r="Q3" s="8" t="str">
        <x:v>no</x:v>
      </x:c>
      <x:c r="R3" s="8" t="str">
        <x:v>yes</x:v>
      </x:c>
      <x:c r="S3" s="8" t="str">
        <x:v>yes</x:v>
      </x:c>
      <x:c r="T3" s="7" t="str">
        <x:v>Reviewed against title, duties, mapped skills and detection sources.</x:v>
      </x:c>
    </x:row>
    <x:row r="4">
      <x:c r="A4" s="5" t="str">
        <x:v>neither</x:v>
      </x:c>
      <x:c r="B4" s="5" t="str">
        <x:v>27855957</x:v>
      </x:c>
      <x:c r="C4" s="7" t="str">
        <x:v>Confirmed Accounting Assistant (M/F)</x:v>
      </x:c>
      <x:c r="D4" s="7" t="str">
        <x:v>Our partner, Accounting Firm based in Guérande (44) is looking for an Evolutive Accounting Assistant profile (M/F) to join a dynamic and caring team. In pair with an experienced Accountant, you work on a portfolio of around thirty BIC, SCI and some BNC files and carry out the following missions: You will be responsible for the following missions: - Data entry, bookkeeping - VAT declaration - Intervention on account review missions - Guarantee customer satisfaction through periodic monitoring of the file. Advantages: - Restaurant voucher - Incentive bonus - 13th month - Holiday vouchers - 1 seminar per year - Flexible hours - Possibility of medium-term development You have a taste for numbers, the desire to develop your skills after successful experience in a firm, this opportunity is made for you. From Bac+2 to Bac+5 training in the field of accounting (BTS CGO, DCG, DSCG, Master CCA), do not hesitate to send us your best CV. INDSP</x:v>
      </x:c>
      <x:c r="E4" s="5" t="str">
        <x:v>27500.0</x:v>
      </x:c>
      <x:c r="F4" s="5" t="str">
        <x:v>1ad59946-d13e-441e-9b36-56e1df055e21</x:v>
      </x:c>
      <x:c r="G4" s="7" t="str">
        <x:v>["numerology"]</x:v>
      </x:c>
      <x:c r="H4" s="7" t="str">
        <x:v>[]</x:v>
      </x:c>
      <x:c r="I4" s="7" t="str">
        <x:v>[]</x:v>
      </x:c>
      <x:c r="J4" s="7" t="str">
        <x:v>[]</x:v>
      </x:c>
      <x:c r="K4" s="7" t="str">
        <x:v>[]</x:v>
      </x:c>
      <x:c r="L4" s="7" t="str">
        <x:v>[]</x:v>
      </x:c>
      <x:c r="M4" s="7" t="str">
        <x:v>[]</x:v>
      </x:c>
      <x:c r="N4" s="7" t="str">
        <x:v>[]</x:v>
      </x:c>
      <x:c r="O4" s="7" t="str">
        <x:v>[]</x:v>
      </x:c>
      <x:c r="P4" s="7" t="str">
        <x:v>[]</x:v>
      </x:c>
      <x:c r="Q4" s="8" t="str">
        <x:v>no</x:v>
      </x:c>
      <x:c r="R4" s="8" t="str">
        <x:v>yes</x:v>
      </x:c>
      <x:c r="S4" s="8" t="str">
        <x:v>yes</x:v>
      </x:c>
      <x:c r="T4" s="7" t="str">
        <x:v>Reviewed against title, duties, mapped skills and detection sources.</x:v>
      </x:c>
    </x:row>
    <x:row r="5">
      <x:c r="A5" s="5" t="str">
        <x:v>neither</x:v>
      </x:c>
      <x:c r="B5" s="5" t="str">
        <x:v>27742299</x:v>
      </x:c>
      <x:c r="C5" s="7" t="str">
        <x:v>Electricity project manager M/F</x:v>
      </x:c>
      <x:c r="D5" s="7" t="str">
        <x:v>Our recruitment firm specializing in Real Estate supports you in your recruitment with different players in the sector such as Real Estate Developers, Landlords, Social Landlords, Real Estate Administration Companies, Corporate Real Estate Consulting Companies, etc. TALENTS CONSTRUCTION, Recruitment Firm dedicated to the Construction and Public Works professions, supports you in carrying out your professional projects by offering you targeted offers corresponding to your profile and your expectations. Our consultants are driven by the desire for a satisfactory long-term collaboration, a guarantee of successful recruitment. EXPERT IN ELECTRICAL ENGINEERING, our client designs, installs and maintains high-performance electrical solutions for residential, tertiary and industrial buildings. Its expertise covers electrical distribution, lighting, automation and energy management. AS PART OF ITS DEVELOPMENT WE ARE LOOKING FOR A SMALL ELECTRICAL WORKS MANAGER - JUNIOR * ADMINISTRATIVE FOLLOW-UP: * Writing quotes and managing orders. * Preparation and monitoring of contractual documents. * SITE MANAGEMENT: * Monitoring the work schedule and controlling progress. * Coordination with subcontractors and internal teams. * CUSTOMER RELATIONS: * Maintaining contact with customers and resolving problems. * Regular reporting of work progress. * FINANCIAL MONITORING: * Help with budget management and cost control. * Participation in invoicing for work carried out. * MONITORING SAFETY AND QUALITY: * Ensure compliance with safety standards and the quality of work. * STOCK MANAGEMENT AND ORDERS: * Monitoring of material stocks and preparation of necessary orders. We are looking for an EXPERIENCED professional, with a MINIMUM OF 2 TO 3 YEARS OF EXPERIENCE in their field. No specific diploma is required, expertise and autonomy in the field being essential criteria for this position. EXPERIENCE: 2 to 3 years minimum LICENSE B: Mandatory MOBILITY: Service vehicle provided This position is aimed at a rigorous, autonomous and involved person, wishing to evolve within a dynamic and growing company. Salary over 12 months, mutual insurance, transport costs, packed lunch (10 euros) and end-of-year bonus, Etam status, day package YOU HAVE A TASTE FOR CHALLENGE! YOU WANT TO JOIN A VERY DYNAMIC GROUP, IN FULL DEVELOPMENT! APPLY!</x:v>
      </x:c>
      <x:c r="E5" s="5" t="str">
        <x:v>45000.0</x:v>
      </x:c>
      <x:c r="F5" s="5" t="str">
        <x:v>8529edc5-96ad-4cde-b34a-f86ad3753e4d</x:v>
      </x:c>
      <x:c r="G5" s="7" t="str">
        <x:v>["adhere to health well-being and safety", "automation technology", "carry out energy management of facilities", "maintain relationship with customers", "manage personal finances", "monitor developments in field of expertise", "strive for company growth", "talent management strategies"]</x:v>
      </x:c>
      <x:c r="H5" s="7" t="str">
        <x:v>[]</x:v>
      </x:c>
      <x:c r="I5" s="7" t="str">
        <x:v>[]</x:v>
      </x:c>
      <x:c r="J5" s="7" t="str">
        <x:v>[]</x:v>
      </x:c>
      <x:c r="K5" s="7" t="str">
        <x:v>[]</x:v>
      </x:c>
      <x:c r="L5" s="7" t="str">
        <x:v>[]</x:v>
      </x:c>
      <x:c r="M5" s="7" t="str">
        <x:v>[]</x:v>
      </x:c>
      <x:c r="N5" s="7" t="str">
        <x:v>[]</x:v>
      </x:c>
      <x:c r="O5" s="7" t="str">
        <x:v>[]</x:v>
      </x:c>
      <x:c r="P5" s="7" t="str">
        <x:v>[]</x:v>
      </x:c>
      <x:c r="Q5" s="8" t="str">
        <x:v>no</x:v>
      </x:c>
      <x:c r="R5" s="8" t="str">
        <x:v>yes</x:v>
      </x:c>
      <x:c r="S5" s="8" t="str">
        <x:v>yes</x:v>
      </x:c>
      <x:c r="T5" s="7" t="str">
        <x:v>Reviewed against title, duties, mapped skills and detection sources.</x:v>
      </x:c>
    </x:row>
    <x:row r="6">
      <x:c r="A6" s="5" t="str">
        <x:v>neither</x:v>
      </x:c>
      <x:c r="B6" s="5" t="str">
        <x:v>131992</x:v>
      </x:c>
      <x:c r="C6" s="7" t="str">
        <x:v>Accounting associate (M/F)</x:v>
      </x:c>
      <x:c r="D6" s="7" t="str">
        <x:v>Experienced Accountant Collaborator M/F – CDI – Valence Salary according to profile | Accounting, Taxation, Business Consulting We are recruiting for an associative company, specializing in consulting and accounting expertise, a Certified Accounting Associate based in Valence. This company, a long-standing partner of local economic players, supports a wide variety of clients in different sectors of activity. If you want to contribute to the development of the local economy while benefiting from a work environment on a human scale, this offer is made for you! Your missions: As an experienced accounting employee, you will be responsible for: * Independently managing a client portfolio composed mainly of VSEs and SMEs * Ensuring the complete accounting and tax management of these files * Preparing annual accounts and tax declarations for companies * Supporting clients in optimizing their accounting management and in organizing their internal processes * Participating in the supervision of the team's accounting files according to your experience * Detecting client needs and direct them towards our experts in complementary fields (social, legal, tax, commercial strategy, etc.) &amp;nbsp;</x:v>
      </x:c>
      <x:c r="E6" s="5" t="str">
        <x:v>40000.0</x:v>
      </x:c>
      <x:c r="F6" s="5" t="str">
        <x:v>eda0d957-3c3c-4139-b89a-a18bc9e18897</x:v>
      </x:c>
      <x:c r="G6" s="7" t="str">
        <x:v>["accounting", "collect tax", "identify clients' needs", "management consulting"]</x:v>
      </x:c>
      <x:c r="H6" s="7" t="str">
        <x:v>[]</x:v>
      </x:c>
      <x:c r="I6" s="7" t="str">
        <x:v>[]</x:v>
      </x:c>
      <x:c r="J6" s="7" t="str">
        <x:v>[]</x:v>
      </x:c>
      <x:c r="K6" s="7" t="str">
        <x:v>[]</x:v>
      </x:c>
      <x:c r="L6" s="7" t="str">
        <x:v>[]</x:v>
      </x:c>
      <x:c r="M6" s="7" t="str">
        <x:v>[]</x:v>
      </x:c>
      <x:c r="N6" s="7" t="str">
        <x:v>[]</x:v>
      </x:c>
      <x:c r="O6" s="7" t="str">
        <x:v>[]</x:v>
      </x:c>
      <x:c r="P6" s="7" t="str">
        <x:v>[]</x:v>
      </x:c>
      <x:c r="Q6" s="8" t="str">
        <x:v>no</x:v>
      </x:c>
      <x:c r="R6" s="8" t="str">
        <x:v>yes</x:v>
      </x:c>
      <x:c r="S6" s="8" t="str">
        <x:v>yes</x:v>
      </x:c>
      <x:c r="T6" s="7" t="str">
        <x:v>Reviewed against title, duties, mapped skills and detection sources.</x:v>
      </x:c>
    </x:row>
    <x:row r="7">
      <x:c r="A7" s="5" t="str">
        <x:v>neither</x:v>
      </x:c>
      <x:c r="B7" s="5" t="str">
        <x:v>27819971</x:v>
      </x:c>
      <x:c r="C7" s="7" t="str">
        <x:v>Confirmed Accounting Assistant (M/F)</x:v>
      </x:c>
      <x:c r="D7" s="7" t="str">
        <x:v>Our partner is an Accounting Firm located in Marseille - 1st (13), this structure has a great regional reputation and is looking for an Accounting Assistant M/F profile to join a team made up of around thirty employees. Management emphasizes internal growth, giving you the opportunity to gradually develop your skills and gain autonomy. You will be required to support a diversified portfolio of clients, from initial entry to the preparation of the tax return. Your missions will include in particular: - Data entry and bookkeeping - VAT declaration - Participation in accounting review missions - Regular monitoring of client files - Assistance on exceptional missions In terms of benefits, you will benefit from: - Restaurant vouchers - Incentive bonus - 13th month - Flexibility of hours - Possibilities for development in the medium term If you are passionate about figures and aspire to develop your skills within a large-scale accounting firm, this opportunity is made for you. you. Bac +2 to Bac +5 level training in the field of accounting is desired. If you are interested in this position, do not hesitate to send us your CV.</x:v>
      </x:c>
      <x:c r="E7" s="5" t="str">
        <x:v>27500.0</x:v>
      </x:c>
      <x:c r="F7" s="5" t="str">
        <x:v>1ad59946-d13e-441e-9b36-56e1df055e21</x:v>
      </x:c>
      <x:c r="G7" s="7" t="str">
        <x:v>["accounting", "patient autonomy", "prepare tax returns forms"]</x:v>
      </x:c>
      <x:c r="H7" s="7" t="str">
        <x:v>[]</x:v>
      </x:c>
      <x:c r="I7" s="7" t="str">
        <x:v>[]</x:v>
      </x:c>
      <x:c r="J7" s="7" t="str">
        <x:v>[]</x:v>
      </x:c>
      <x:c r="K7" s="7" t="str">
        <x:v>[]</x:v>
      </x:c>
      <x:c r="L7" s="7" t="str">
        <x:v>[]</x:v>
      </x:c>
      <x:c r="M7" s="7" t="str">
        <x:v>[]</x:v>
      </x:c>
      <x:c r="N7" s="7" t="str">
        <x:v>[]</x:v>
      </x:c>
      <x:c r="O7" s="7" t="str">
        <x:v>[]</x:v>
      </x:c>
      <x:c r="P7" s="7" t="str">
        <x:v>[]</x:v>
      </x:c>
      <x:c r="Q7" s="8" t="str">
        <x:v>no</x:v>
      </x:c>
      <x:c r="R7" s="8" t="str">
        <x:v>yes</x:v>
      </x:c>
      <x:c r="S7" s="8" t="str">
        <x:v>yes</x:v>
      </x:c>
      <x:c r="T7" s="7" t="str">
        <x:v>Reviewed against title, duties, mapped skills and detection sources.</x:v>
      </x:c>
    </x:row>
    <x:row r="8">
      <x:c r="A8" s="5" t="str">
        <x:v>neither</x:v>
      </x:c>
      <x:c r="B8" s="5" t="str">
        <x:v>27364703</x:v>
      </x:c>
      <x:c r="C8" s="7" t="str">
        <x:v>Dessinateur See electrical (H/F)</x:v>
      </x:c>
      <x:c r="D8" s="7" t="str">
        <x:v>KALIXENS supports VSEs, SMEs and large groups through its recruitment service activities. Branch of a regional company operating in the human resources sector KALIXENS recruits future talents, experts and executives for its clients and in several regions. Precision CDD-CDI recruitment and a strongly service-oriented DNA to support you. KALIXENS RH is recruiting for its client, a very beautiful industrial company on a human scale, an Electrical Designer (M/F) on a permanent contract. Your main mission will be the production of overall plans and detail plans for the company's products. As such, here is the list of your responsibilities: - Carry out 3D design studies, sizing and drawing - Respect the specifications - Management of technical documents specific to the BE according to the rules and procedures - Carry out the necessary plan modifications after or during the projects The position is to be filled immediately, on a permanent basis. You will evolve in a healthy environment where the well-being of employees is very important for the company, a work/personal life balance is very important. If you are interested in this position, send us your application! Holder of a minimum Bac+2 training (BTS or DUT electrotechnical type). You have at least 1 year of experience in a similar position in an electrical field. You are curious, open-minded and organized, constant involvement in your work is required. You master the SEE ELECTRICAL software</x:v>
      </x:c>
      <x:c r="E8" s="5" t="str">
        <x:v>35000.0</x:v>
      </x:c>
      <x:c r="F8" s="5" t="str">
        <x:v>2515bd46-ccd4-4561-97d1-b9544608a76e</x:v>
      </x:c>
      <x:c r="G8" s="7" t="str">
        <x:v>["keep an open mind", "plan space satellite missions"]</x:v>
      </x:c>
      <x:c r="H8" s="7" t="str">
        <x:v>[]</x:v>
      </x:c>
      <x:c r="I8" s="7" t="str">
        <x:v>[]</x:v>
      </x:c>
      <x:c r="J8" s="7" t="str">
        <x:v>[]</x:v>
      </x:c>
      <x:c r="K8" s="7" t="str">
        <x:v>[]</x:v>
      </x:c>
      <x:c r="L8" s="7" t="str">
        <x:v>[]</x:v>
      </x:c>
      <x:c r="M8" s="7" t="str">
        <x:v>[]</x:v>
      </x:c>
      <x:c r="N8" s="7" t="str">
        <x:v>[]</x:v>
      </x:c>
      <x:c r="O8" s="7" t="str">
        <x:v>[]</x:v>
      </x:c>
      <x:c r="P8" s="7" t="str">
        <x:v>[]</x:v>
      </x:c>
      <x:c r="Q8" s="8" t="str">
        <x:v>no</x:v>
      </x:c>
      <x:c r="R8" s="8" t="str">
        <x:v>yes</x:v>
      </x:c>
      <x:c r="S8" s="8" t="str">
        <x:v>yes</x:v>
      </x:c>
      <x:c r="T8" s="7" t="str">
        <x:v>Reviewed against title, duties, mapped skills and detection sources.</x:v>
      </x:c>
    </x:row>
    <x:row r="9">
      <x:c r="A9" s="5" t="str">
        <x:v>neither</x:v>
      </x:c>
      <x:c r="B9" s="5" t="str">
        <x:v>27732515</x:v>
      </x:c>
      <x:c r="C9" s="7" t="str">
        <x:v>Confirmed Accounting Assistant (M/F)</x:v>
      </x:c>
      <x:c r="D9" s="7" t="str">
        <x:v>We are currently in partnership with a small accounting firm located in Alex (74). This firm is actively looking for an Experienced Accounting Assistant M/F to strengthen its dynamic team. It is a growing structure that advocates kindness and support. In addition, they use modern tools to make the work easier. Ultimately, are you looking for a firm to reconcile your professional and personal life? This office is made for you! As an Accounting Assistant, you will work closely with an experienced colleague to ensure the efficient management of customer files. Your responsibilities will include: - Entering accounting data - VAT returns - Participating in accounting review activities - Managing customer relationships. The firm places great importance on the well-being of its employees and offers a full range of benefits, including restaurant vouchers, an incentive bonus, a 13th month bonus, a mileage allowance, and short, medium and long-term development opportunities. If you are passionate about numbers and aspire to develop your skills within a large accounting firm, this opportunity is for you. Bac +2 to Bac +5 level training in the field of accounting is desired. If you are interested in this position, do not hesitate to send us your CV.</x:v>
      </x:c>
      <x:c r="E9" s="5" t="str">
        <x:v>30000.0</x:v>
      </x:c>
      <x:c r="F9" s="5" t="str">
        <x:v>1ad59946-d13e-441e-9b36-56e1df055e21</x:v>
      </x:c>
      <x:c r="G9" s="7" t="str">
        <x:v>["accounting"]</x:v>
      </x:c>
      <x:c r="H9" s="7" t="str">
        <x:v>[]</x:v>
      </x:c>
      <x:c r="I9" s="7" t="str">
        <x:v>[]</x:v>
      </x:c>
      <x:c r="J9" s="7" t="str">
        <x:v>[]</x:v>
      </x:c>
      <x:c r="K9" s="7" t="str">
        <x:v>[]</x:v>
      </x:c>
      <x:c r="L9" s="7" t="str">
        <x:v>[]</x:v>
      </x:c>
      <x:c r="M9" s="7" t="str">
        <x:v>[]</x:v>
      </x:c>
      <x:c r="N9" s="7" t="str">
        <x:v>[]</x:v>
      </x:c>
      <x:c r="O9" s="7" t="str">
        <x:v>[]</x:v>
      </x:c>
      <x:c r="P9" s="7" t="str">
        <x:v>[]</x:v>
      </x:c>
      <x:c r="Q9" s="8" t="str">
        <x:v>no</x:v>
      </x:c>
      <x:c r="R9" s="8" t="str">
        <x:v>yes</x:v>
      </x:c>
      <x:c r="S9" s="8" t="str">
        <x:v>yes</x:v>
      </x:c>
      <x:c r="T9" s="7" t="str">
        <x:v>Reviewed against title, duties, mapped skills and detection sources.</x:v>
      </x:c>
    </x:row>
    <x:row r="10">
      <x:c r="A10" s="5" t="str">
        <x:v>neither</x:v>
      </x:c>
      <x:c r="B10" s="5" t="str">
        <x:v>27897292</x:v>
      </x:c>
      <x:c r="C10" s="7" t="str">
        <x:v>CONDUCTEUR DE TRAVAUX JUNIOR GO/TCE (H/F)</x:v>
      </x:c>
      <x:c r="D10" s="7" t="str">
        <x:v>Participation in the management of structural works and TCE construction sites Monitoring the execution of works: quality, safety, deadlines Coordination of subcontractors and suppliers Administrative and financial monitoring of operations Participation in site meetings and reports Application of QSE procedures Regular reporting Construction engineering diploma / Civil Engineering 1 to 5 years of experience in work management First successful experience in structural work and/or TCE</x:v>
      </x:c>
      <x:c r="E10" s="5" t="str">
        <x:v>40000.0</x:v>
      </x:c>
      <x:c r="F10" s="5" t="str">
        <x:v>ba3bacd4-73e9-4861-a9c0-f89f1f28055a</x:v>
      </x:c>
      <x:c r="G10" s="7" t="str">
        <x:v>["promote health and safety", "software components suppliers"]</x:v>
      </x:c>
      <x:c r="H10" s="7" t="str">
        <x:v>[]</x:v>
      </x:c>
      <x:c r="I10" s="7" t="str">
        <x:v>[]</x:v>
      </x:c>
      <x:c r="J10" s="7" t="str">
        <x:v>[]</x:v>
      </x:c>
      <x:c r="K10" s="7" t="str">
        <x:v>[]</x:v>
      </x:c>
      <x:c r="L10" s="7" t="str">
        <x:v>[]</x:v>
      </x:c>
      <x:c r="M10" s="7" t="str">
        <x:v>[]</x:v>
      </x:c>
      <x:c r="N10" s="7" t="str">
        <x:v>[]</x:v>
      </x:c>
      <x:c r="O10" s="7" t="str">
        <x:v>[]</x:v>
      </x:c>
      <x:c r="P10" s="7" t="str">
        <x:v>[]</x:v>
      </x:c>
      <x:c r="Q10" s="8" t="str">
        <x:v>no</x:v>
      </x:c>
      <x:c r="R10" s="8" t="str">
        <x:v>yes</x:v>
      </x:c>
      <x:c r="S10" s="8" t="str">
        <x:v>yes</x:v>
      </x:c>
      <x:c r="T10" s="7" t="str">
        <x:v>Reviewed against title, duties, mapped skills and detection sources.</x:v>
      </x:c>
    </x:row>
    <x:row r="11">
      <x:c r="A11" s="5" t="str">
        <x:v>neither</x:v>
      </x:c>
      <x:c r="B11" s="5" t="str">
        <x:v>750827//</x:v>
      </x:c>
      <x:c r="C11" s="7" t="str">
        <x:v>Warehouse Manager M/F</x:v>
      </x:c>
      <x:c r="D11" s="7" t="str">
        <x:v>? Your main missions As a true guarantor of internal logistics performance, you: · Supervise and participate in the reception of subcontracted components and products, ensuring their conformity, traceability and compliance with documentary requirements. · Manage inventory management: reliability of ERP data, inventories, monitoring of expired products, monthly preparation of financial stock. · Organize and carry out the necessary preparations for production launches: business bins, stock releases, unpacking, supply of departure areas. · Ensure availability of items for full and on-time launches. · Lead and supervise the store team: distribution of missions, mobilization, safety, integration, skills development, annual interviews and performance monitoring. · Participate in continuous improvement and cross-functional projects to optimize flows and practices. ?️ Key skills · Mastery of ERP and IT tools · Technical knowledge in an industrial environment · Mastery of processes, procedures, standards and regulations · Leadership, rigor, sense of organization and collaborative spirit? Profile sought Do you have successful experience in logistics and/or hold a BAC+2 in this field? Rigorous, organized and endowed with real leadership, you know how to mobilize a team and establish a positive dynamic. Motivated and committed, you enjoy working in a team and contributing to collective performance.</x:v>
      </x:c>
      <x:c r="E11" s="5" t="str">
        <x:v>27500.0</x:v>
      </x:c>
      <x:c r="F11" s="5" t="str">
        <x:v>aacc3918-b5d3-484b-9480-5d29aa550d74</x:v>
      </x:c>
      <x:c r="G11" s="7" t="str">
        <x:v>["continuous improvement philosophies", "develop personal skills", "identify key processes of traceability systems ", "promote health and safety"]</x:v>
      </x:c>
      <x:c r="H11" s="7" t="str">
        <x:v>[]</x:v>
      </x:c>
      <x:c r="I11" s="7" t="str">
        <x:v>[]</x:v>
      </x:c>
      <x:c r="J11" s="7" t="str">
        <x:v>[]</x:v>
      </x:c>
      <x:c r="K11" s="7" t="str">
        <x:v>[]</x:v>
      </x:c>
      <x:c r="L11" s="7" t="str">
        <x:v>[]</x:v>
      </x:c>
      <x:c r="M11" s="7" t="str">
        <x:v>[]</x:v>
      </x:c>
      <x:c r="N11" s="7" t="str">
        <x:v>[]</x:v>
      </x:c>
      <x:c r="O11" s="7" t="str">
        <x:v>[]</x:v>
      </x:c>
      <x:c r="P11" s="7" t="str">
        <x:v>[]</x:v>
      </x:c>
      <x:c r="Q11" s="8" t="str">
        <x:v>no</x:v>
      </x:c>
      <x:c r="R11" s="8" t="str">
        <x:v>yes</x:v>
      </x:c>
      <x:c r="S11" s="8" t="str">
        <x:v>yes</x:v>
      </x:c>
      <x:c r="T11" s="7" t="str">
        <x:v>Reviewed against title, duties, mapped skills and detection sources.</x:v>
      </x:c>
    </x:row>
    <x:row r="12">
      <x:c r="A12" s="5" t="str">
        <x:v>neither</x:v>
      </x:c>
      <x:c r="B12" s="5" t="str">
        <x:v>Super U - VZGOZBVIKVYOEBGWHMGWLM132</x:v>
      </x:c>
      <x:c r="C12" s="7" t="str">
        <x:v>Super U - Chef / Cheffe de rayon boulangerie (H/F)</x:v>
      </x:c>
      <x:c r="D12" s="7" t="str">
        <x:v>Your main mission: To be the relay of the Trader Differently spirit In collaboration with your manager, you develop the skills and know-how of your team! Coordination of the department's activity Commercial management / Merchandising / Promotions / Goods flow management / Reception and customer advice / Application of commercial policy / Development of the department's operating account Compliance with hygiene and food safety standards Be the manager's relay to the team Your summit at U: values ​​for growing together You want to invest in an exciting profession and a job with a future. Working with us is the assurance of opening doors to your professional career with the support of your management. At U, it all starts with you You, who are... Sociable, you are committed to guaranteeing the quality of local relationships Proactive, you have no shortage of ideas to highlight your department Amateur of organization with a sense of results Ready to take initiatives to flourish in your environment You, who want to... Encourage your team to progress and surpass themselves Build a real relationship of trust with customers Growing within a store of which you are proud And what about us? Helping you realize yourself and reach your peak is what being a Trader is all about. Find out what we offer you to thrive alongside us. Paid break of 5% of working time Annual bonus Mutual Insurance Other financial benefits depending on seniority Internal mobility within the store • Authorizations for absences for family events Do you recognize yourself and want to reach your peak alongside us? Apply! All our positions are open to people with disabilities.</x:v>
      </x:c>
      <x:c r="E12" s="5" t="str">
        <x:v>28800.0</x:v>
      </x:c>
      <x:c r="F12" s="5" t="str">
        <x:v>a79d9e58-36be-4e67-a4db-ea6c8ff445fc</x:v>
      </x:c>
      <x:c r="G12" s="7" t="str">
        <x:v>[]</x:v>
      </x:c>
      <x:c r="H12" s="7" t="str">
        <x:v>[]</x:v>
      </x:c>
      <x:c r="I12" s="7" t="str">
        <x:v>[]</x:v>
      </x:c>
      <x:c r="J12" s="7" t="str">
        <x:v>[]</x:v>
      </x:c>
      <x:c r="K12" s="7" t="str">
        <x:v>[]</x:v>
      </x:c>
      <x:c r="L12" s="7" t="str">
        <x:v>[]</x:v>
      </x:c>
      <x:c r="M12" s="7" t="str">
        <x:v>[]</x:v>
      </x:c>
      <x:c r="N12" s="7" t="str">
        <x:v>[]</x:v>
      </x:c>
      <x:c r="O12" s="7" t="str">
        <x:v>[]</x:v>
      </x:c>
      <x:c r="P12" s="7" t="str">
        <x:v>[]</x:v>
      </x:c>
      <x:c r="Q12" s="8" t="str">
        <x:v>no</x:v>
      </x:c>
      <x:c r="R12" s="8" t="str">
        <x:v>yes</x:v>
      </x:c>
      <x:c r="S12" s="8" t="str">
        <x:v>yes</x:v>
      </x:c>
      <x:c r="T12" s="7" t="str">
        <x:v>Reviewed against title, duties, mapped skills and detection sources.</x:v>
      </x:c>
    </x:row>
    <x:row r="13">
      <x:c r="A13" s="5" t="str">
        <x:v>neither</x:v>
      </x:c>
      <x:c r="B13" s="5" t="str">
        <x:v>steva_6758000023457494_1771597266</x:v>
      </x:c>
      <x:c r="C13" s="7" t="str">
        <x:v>Cook M/F</x:v>
      </x:c>
      <x:c r="D13" s="7" t="str">
        <x:v>BECOME A COOK (M/F) IN VILLA BEAUSOLEIL Join the brigade of a restaurant like no other! - Quality food for demanding bistronomic cuisine! - Without the constraints of traditional catering: less staggered hours and tables that are always full. - A unique relationship with your guests that grows stronger every day. YOUR MISSIONS: As part of a multidisciplinary team, you and your brigade contribute to the well-being of our 100 residents - Assist the Chef and the Assistant Chef on all missions in order to offer high-end menus, mixing flavors and providing immediate pleasure to our customers: our residents and their families. - Apply the hygiene and safety rules in force (HACCP), - Participate in the maintenance of the kitchen and ancillary premises. - Ensure the daily setting up, plating of dishes or dishwashing according to the needs of the chef. At Villa Beausoleil, we imagine innovative and high-end living spaces. Our 25 houses (senior service residences and EHPAD) bring together accommodation, bistronomic catering, care, entertainment and à la carte services to bring a smile to our grandpas and grandmas. THE VILLA BEAUSOLEIL PROMISE: Our difference is that Villa Beausoleil is the only company in the sector that has belonged to the same family since 1967, the Boughabas. You will meet human leaders, who give you the means to take care of, and above all, make your residents smile every day! - You will have time to pamper each resident because there are more teams here (+20% vs. competition) - Your work will be truly recognized. On average, over the last 2 years, our employees have benefited from a +15% salary increase, in addition to regular training and real development prospects - You will work in magnificent locations and your lunches will be offered every day by our Chef. - Your professional/personal life balance will be maintained thanks to a fixed schedule. CONTRACTUAL TERMS: - Type of contract: Fixed-term contract - Monthly salary: 2,219 euros gross (including Ségur 1, Sunday bonus included) - And even more bonuses: transport etc. - Daytime work (8 a.m.-8 p.m.) - 1 weekend out of two worked With CAP/BEP cuisine training, you have a great sense of service and teamwork and at least 3 years of experience in a bistronomic or gastronomic environment. If you want to be proud of your job every day, be trained and evolve, join our teams Apply and come meet us!</x:v>
      </x:c>
      <x:c r="E13" s="5" t="str">
        <x:v>26628.0</x:v>
      </x:c>
      <x:c r="F13" s="5" t="str">
        <x:v>90f75f67-495d-49fa-ab57-2f320e251d7e</x:v>
      </x:c>
      <x:c r="G13" s="7" t="str">
        <x:v>["ensure maintenance of kitchen equipment", "maintain personal hygiene standards", "think innovatively"]</x:v>
      </x:c>
      <x:c r="H13" s="7" t="str">
        <x:v>[]</x:v>
      </x:c>
      <x:c r="I13" s="7" t="str">
        <x:v>[]</x:v>
      </x:c>
      <x:c r="J13" s="7" t="str">
        <x:v>[]</x:v>
      </x:c>
      <x:c r="K13" s="7" t="str">
        <x:v>[]</x:v>
      </x:c>
      <x:c r="L13" s="7" t="str">
        <x:v>[]</x:v>
      </x:c>
      <x:c r="M13" s="7" t="str">
        <x:v>[]</x:v>
      </x:c>
      <x:c r="N13" s="7" t="str">
        <x:v>[]</x:v>
      </x:c>
      <x:c r="O13" s="7" t="str">
        <x:v>[]</x:v>
      </x:c>
      <x:c r="P13" s="7" t="str">
        <x:v>[]</x:v>
      </x:c>
      <x:c r="Q13" s="8" t="str">
        <x:v>no</x:v>
      </x:c>
      <x:c r="R13" s="8" t="str">
        <x:v>yes</x:v>
      </x:c>
      <x:c r="S13" s="8" t="str">
        <x:v>yes</x:v>
      </x:c>
      <x:c r="T13" s="7" t="str">
        <x:v>Reviewed against title, duties, mapped skills and detection sources.</x:v>
      </x:c>
    </x:row>
    <x:row r="14">
      <x:c r="A14" s="5" t="str">
        <x:v>neither</x:v>
      </x:c>
      <x:c r="B14" s="5" t="str">
        <x:v>1f73peli82</x:v>
      </x:c>
      <x:c r="C14" s="7" t="str">
        <x:v>Automotive mechanic - quick service (M/F)</x:v>
      </x:c>
      <x:c r="D14" s="7" t="str">
        <x:v>RESPONSIBILITIES: The company S3D SERVICES (Profil Plus member) is looking for its future fast service mechanic for its Coutances agency (50). Within the agency and under the responsibility of the agency head and workshop manager, you carry out routine mechanical maintenance services; • oil change, • air conditioning, • tire assembly/disassembly, • braking, on all types of vehicles. You are capable of carrying out a complete diagnosis of the vehicle entrusted and you master new technologies (KTS, FAP, electronics, etc.). CDI 39 hours - worker status - work Saturday mornings with recovery morning during the week + fixed remuneration (range indicated) PROFILE WANTED: With technical training CAP/BEP/Bac Pro mechanics, you have a team spirit. You develop your expertise in automobile mechanics and you invest in customer relations. You must hold a B permit. Employees benefit from advisors at the group's head office for the integration and retention of disabled people in employment.</x:v>
      </x:c>
      <x:c r="E14" s="5" t="str">
        <x:v>29500.0</x:v>
      </x:c>
      <x:c r="F14" s="5" t="str">
        <x:v>4ad4024e-d1d3-4dea-b6d1-2c7948111dce</x:v>
      </x:c>
      <x:c r="G14" s="7" t="str">
        <x:v>["consumer electronics", "maintain mechanical equipment", "new vehicles on the market", "support employability of people with disabilities"]</x:v>
      </x:c>
      <x:c r="H14" s="7" t="str">
        <x:v>[]</x:v>
      </x:c>
      <x:c r="I14" s="7" t="str">
        <x:v>[]</x:v>
      </x:c>
      <x:c r="J14" s="7" t="str">
        <x:v>[]</x:v>
      </x:c>
      <x:c r="K14" s="7" t="str">
        <x:v>[]</x:v>
      </x:c>
      <x:c r="L14" s="7" t="str">
        <x:v>[]</x:v>
      </x:c>
      <x:c r="M14" s="7" t="str">
        <x:v>[]</x:v>
      </x:c>
      <x:c r="N14" s="7" t="str">
        <x:v>[]</x:v>
      </x:c>
      <x:c r="O14" s="7" t="str">
        <x:v>[]</x:v>
      </x:c>
      <x:c r="P14" s="7" t="str">
        <x:v>[]</x:v>
      </x:c>
      <x:c r="Q14" s="8" t="str">
        <x:v>no</x:v>
      </x:c>
      <x:c r="R14" s="8" t="str">
        <x:v>yes</x:v>
      </x:c>
      <x:c r="S14" s="8" t="str">
        <x:v>yes</x:v>
      </x:c>
      <x:c r="T14" s="7" t="str">
        <x:v>Reviewed against title, duties, mapped skills and detection sources.</x:v>
      </x:c>
    </x:row>
    <x:row r="15">
      <x:c r="A15" s="5" t="str">
        <x:v>neither</x:v>
      </x:c>
      <x:c r="B15" s="5" t="str">
        <x:v>27752835</x:v>
      </x:c>
      <x:c r="C15" s="7" t="str">
        <x:v>General Accountant - Internal Accounting (M/F)</x:v>
      </x:c>
      <x:c r="D15" s="7" t="str">
        <x:v>The position concerns the internal accounting management of three legal entities: Your missions Reporting directly to management, you are responsible for the group's internal accounting: Maintaining general accounting (entry, lettering, reconciliations) Review of accounts and preparation of balance sheets Preparing tax packages Management of invoicing and customer/supplier monitoring Production and monitoring of dashboards and financial reporting Analysis of indicators and contribution to financial management Participation in improving internal accounting processes Your profile Accounting training (BTS CG, DCG, DSCG, Master Finance or equivalent) Minimum 5 years of permanent experience in a general accounting position Mastery of accounting up to the balance sheet Comfortable with Excel and reporting tools Autonomy, rigor, reliability and sense of confidentiality Ability to work directly with a manager The advantages of the position Key and transversal position, at the heart of the organization Overall vision of the financial management of a group Stable and structured environment Real autonomy and strong role added value Direct exchange with the managing Chartered Accountant</x:v>
      </x:c>
      <x:c r="E15" s="5" t="str">
        <x:v>37500.0</x:v>
      </x:c>
      <x:c r="F15" s="5" t="str">
        <x:v>1ad59946-d13e-441e-9b36-56e1df055e21</x:v>
      </x:c>
      <x:c r="G15" s="7" t="str">
        <x:v>["accounting techniques", "follow up accounts receivables"]</x:v>
      </x:c>
      <x:c r="H15" s="7" t="str">
        <x:v>[]</x:v>
      </x:c>
      <x:c r="I15" s="7" t="str">
        <x:v>[]</x:v>
      </x:c>
      <x:c r="J15" s="7" t="str">
        <x:v>[]</x:v>
      </x:c>
      <x:c r="K15" s="7" t="str">
        <x:v>[]</x:v>
      </x:c>
      <x:c r="L15" s="7" t="str">
        <x:v>[]</x:v>
      </x:c>
      <x:c r="M15" s="7" t="str">
        <x:v>[]</x:v>
      </x:c>
      <x:c r="N15" s="7" t="str">
        <x:v>[]</x:v>
      </x:c>
      <x:c r="O15" s="7" t="str">
        <x:v>[]</x:v>
      </x:c>
      <x:c r="P15" s="7" t="str">
        <x:v>[]</x:v>
      </x:c>
      <x:c r="Q15" s="8" t="str">
        <x:v>no</x:v>
      </x:c>
      <x:c r="R15" s="8" t="str">
        <x:v>yes</x:v>
      </x:c>
      <x:c r="S15" s="8" t="str">
        <x:v>yes</x:v>
      </x:c>
      <x:c r="T15" s="7" t="str">
        <x:v>Reviewed against title, duties, mapped skills and detection sources.</x:v>
      </x:c>
    </x:row>
    <x:row r="16">
      <x:c r="A16" s="5" t="str">
        <x:v>neither</x:v>
      </x:c>
      <x:c r="B16" s="5" t="str">
        <x:v>tkvjwki2f1</x:v>
      </x:c>
      <x:c r="C16" s="7" t="str">
        <x:v>Comptable (H/F)</x:v>
      </x:c>
      <x:c r="D16" s="7" t="str">
        <x:v>RESPONSIBILITIES: Within the agency: • You independently manage a portfolio of businesses (Retailers, Artisans, Liberal Professions and/or Farmers) and ensure customer satisfaction. • You prepare the annual accounts and present them to clients, providing them with a concise and relevant look at the economic and financial situation of their company. • You are the client's preferred contact, you provide them with all the advice they need to manage their business and you use the expertise of internal specialists (lawyers, advisors) whose intervention you request. • You ensure the development and renewal of the portfolio and visit customers. • You contribute to the good atmosphere and good internal communication in a collective logic PROFILE WANTED: Skills You have a perfect command of office tools (Word, Excel, PowerPoint.) You have a sense of customer service and you have very good interpersonal skills. You know how to adapt and deal with the unexpected. You are organized and rigorous. Training and Profile You have a Bac + 3 or equivalent in the field of accounting and/or management. You have a first successful experience in a firm or in AGC.</x:v>
      </x:c>
      <x:c r="E16" s="5" t="str">
        <x:v>33000.0</x:v>
      </x:c>
      <x:c r="F16" s="5" t="str">
        <x:v>1ad59946-d13e-441e-9b36-56e1df055e21</x:v>
      </x:c>
      <x:c r="G16" s="7" t="str">
        <x:v>["accounting", "guarantee customer satisfaction", "prospect new customers"]</x:v>
      </x:c>
      <x:c r="H16" s="7" t="str">
        <x:v>[]</x:v>
      </x:c>
      <x:c r="I16" s="7" t="str">
        <x:v>[]</x:v>
      </x:c>
      <x:c r="J16" s="7" t="str">
        <x:v>[]</x:v>
      </x:c>
      <x:c r="K16" s="7" t="str">
        <x:v>[]</x:v>
      </x:c>
      <x:c r="L16" s="7" t="str">
        <x:v>[]</x:v>
      </x:c>
      <x:c r="M16" s="7" t="str">
        <x:v>[]</x:v>
      </x:c>
      <x:c r="N16" s="7" t="str">
        <x:v>[]</x:v>
      </x:c>
      <x:c r="O16" s="7" t="str">
        <x:v>[]</x:v>
      </x:c>
      <x:c r="P16" s="7" t="str">
        <x:v>[]</x:v>
      </x:c>
      <x:c r="Q16" s="8" t="str">
        <x:v>no</x:v>
      </x:c>
      <x:c r="R16" s="8" t="str">
        <x:v>yes</x:v>
      </x:c>
      <x:c r="S16" s="8" t="str">
        <x:v>yes</x:v>
      </x:c>
      <x:c r="T16" s="7" t="str">
        <x:v>Reviewed against title, duties, mapped skills and detection sources.</x:v>
      </x:c>
    </x:row>
    <x:row r="17">
      <x:c r="A17" s="5" t="str">
        <x:v>neither</x:v>
      </x:c>
      <x:c r="B17" s="5" t="str">
        <x:v>203QDJK</x:v>
      </x:c>
      <x:c r="C17" s="7" t="str">
        <x:v>CRYOGENIC CLEANING TECHNICIAN (M/F)</x:v>
      </x:c>
      <x:c r="D17" s="7" t="str">
        <x:v>Position objectives: As part of the development of its activity, our company specializing in industrial cryogenic cleaning is recruiting a technician to work on industrial sites (production, maintenance, equipment). Cryogenic cleaning is an innovative and environmentally friendly method using CO2 pellets to clean without abrasion or chemicals. Profile: o Training: CAP / Bac Pro / BTS technical (industrial maintenance, electromechanics, mechanics, boilermaking, etc.). Profiles from industrial cleaning or maintenance are appreciated. Qualifications that are appreciated: CATEC / Working at height / Electrical clearance / chemical risks o Experience Field experience desired in an industrial environment / Beginner accepted if manual, rigorous and motivated (training assured) Skills: Technical - Good understanding of industrial environments - Ability to use technical equipment - Sense of observation and precision in execution Safety &amp; quality - Safety culture essential - Strict compliance with procedures - Careful and methodical work Behavioral - Autonomy and reliability - Taste for field work - Ability to adapt to customer sites - Team spirit Main activities: Preparing interventions - Analyze the technical needs before intervention (type of support, dirt, environment) - Prepare the equipment (cryogenic or laser machine, compressor, CO2 pellets, PPE) - Secure the work area (marking, lockout, protection) Carrying out the services - Implement cryogenic or laser cleaning operations - Adjust the parameters (pressure, flow rate, particle size, distance, angle) - Respect safety procedures and site instructions - Carry out the work within deadlines and the expected level of quality Safety &amp; environment - Strictly apply HSE rules (CO2, noise, projections and laser risks) - Use and control mandatory PPE - Manage residual waste (detached deposits, filters, consumables) - Participate in the continuous improvement of safety practices Field customer relations - Be the customer's technical contact on site - Explain the method and the results obtained - Provide useful technical and commercial information - Report on interventions carried out Maintenance &amp; equipment monitoring - Ensure routine maintenance of equipment - Report malfunctions - Participate in the improvement and reliability of equipment</x:v>
      </x:c>
      <x:c r="E17" s="5" t="str">
        <x:v>26160.0</x:v>
      </x:c>
      <x:c r="F17" s="5" t="str">
        <x:v>303a1e34-cb16-4054-b323-81e5eec17397</x:v>
      </x:c>
      <x:c r="G17" s="7" t="str">
        <x:v>["electromechanics", "maintain electromechanical equipment", "manage maintenance operations", "operate laser plate maker machine"]</x:v>
      </x:c>
      <x:c r="H17" s="7" t="str">
        <x:v>[]</x:v>
      </x:c>
      <x:c r="I17" s="7" t="str">
        <x:v>[]</x:v>
      </x:c>
      <x:c r="J17" s="7" t="str">
        <x:v>[]</x:v>
      </x:c>
      <x:c r="K17" s="7" t="str">
        <x:v>[]</x:v>
      </x:c>
      <x:c r="L17" s="7" t="str">
        <x:v>[]</x:v>
      </x:c>
      <x:c r="M17" s="7" t="str">
        <x:v>[]</x:v>
      </x:c>
      <x:c r="N17" s="7" t="str">
        <x:v>[]</x:v>
      </x:c>
      <x:c r="O17" s="7" t="str">
        <x:v>[]</x:v>
      </x:c>
      <x:c r="P17" s="7" t="str">
        <x:v>[]</x:v>
      </x:c>
      <x:c r="Q17" s="8" t="str">
        <x:v>no</x:v>
      </x:c>
      <x:c r="R17" s="8" t="str">
        <x:v>yes</x:v>
      </x:c>
      <x:c r="S17" s="8" t="str">
        <x:v>yes</x:v>
      </x:c>
      <x:c r="T17" s="7" t="str">
        <x:v>Reviewed against title, duties, mapped skills and detection sources.</x:v>
      </x:c>
    </x:row>
    <x:row r="18">
      <x:c r="A18" s="5" t="str">
        <x:v>neither</x:v>
      </x:c>
      <x:c r="B18" s="5" t="str">
        <x:v>203PZYV</x:v>
      </x:c>
      <x:c r="C18" s="7" t="str">
        <x:v>CAREGiver/AMP in a human-sized structure (M/F)</x:v>
      </x:c>
      <x:c r="D18" s="7" t="str">
        <x:v>Carrying out or assisting in carrying out hygiene and comfort care acts for the person: - Stimulate autonomy - Install and mobilize the person - Carry out hygiene and nursing care (toilet, shaving, mouth care, assistance with total or partial toileting, etc.) - Manage and prevent incontinence - Help with dressing and/or undressing (compression stockings, etc.) - Assist with mobilization, movement and transfer (lifting, bed, walking aid, etc.) - Prevent the risk of bedsores - Monitor the general condition (constants, urine, stools, etc.) - Carry out medically prescribed procedures (installation of patches, distribution of medications, application of ointments, eye drops, etc.) - Ensure the maintenance of the immediate environment (repair of the bed, maintenance of the equipment used, etc.) - Provide care related to food (distribution of meals, assistance with taking, checking meals, cleaning the tables, setting the cutlery in the evening) - Provide care related to elimination - Provide care related to sleep (accompany, help) - Prepare the equipment necessary for the various procedures (toilet trolley) - Ensure the resident's aesthetics (hairdressing, hair removal) - Participate in the management of product stocks (incontinence or others) and ensure orders and storage - Help the nurse in carrying out the care - Participate in the care of the body in the event of death (small wash, close the eyes, the mouth) Establishment of a relationship favorable to care: - Establish a relationship of trust with the resident and those around them - Listen to the needs, ensure communication favorable to the well-being of the residents - Prevent, stimulate and inform the resident and those around them - Take into account the rhythm and lifestyle habits of the resident and those around them Maintenance of the resident's living environment: - Ensure the upkeep of the room - Ensure the maintenance of collective spaces - Ensure the maintenance of linen and the repair of beds - Maintain care equipment: wash, decontaminate, disinfect - Maintain trolleys, wheelchairs - Check, condition, store the equipment to be sterilized or disinfect Coordination and organization of its action: - Ensure the actions to be carried out at each start of the intervention - Report the difficulties encountered during the intervention and/or developments in the situation - Record the content of interventions in order to ensure traceability and continuity of care - Participate in department meetings and summary meetings and/or discussion points with partners - Participate in the development and monitoring of the care project in conjunction with colleagues - Participate in the supervision and support of trainees in training - Maintain good relationships and coordinate your action with other stakeholders (doctor, nurse, etc.) Participation in the development of the personalized project : - Participate in the writing, monitoring of the implementation, be a resident's referent Participation in the collective life of the residence: - Organize, supervise activities or outings - Participate in the development of the establishment project - Participate in the training actions implemented - Implement the defined protocols - Set the table and heat the meals, ensure the distribution and some culinary preparations - Ensure the service of meals Carrying out an isolated night worker (1 every 2 month). Small structure on a human scale, we have time to support residents in daily life activities, but this requires versatility.</x:v>
      </x:c>
      <x:c r="E18" s="5" t="str">
        <x:v>21080.4</x:v>
      </x:c>
      <x:c r="F18" s="5" t="str">
        <x:v>87d0795a-d41f-47ee-979f-0ab7d73836e7</x:v>
      </x:c>
      <x:c r="G18" s="7" t="str">
        <x:v>["distribute meals to patients", "hygiene in a health care setting", "maintain optical equipment", "maintain personal hygiene standards", "sterilise medical equipment", "supervise entertainment activities for guests", "write meeting reports"]</x:v>
      </x:c>
      <x:c r="H18" s="7" t="str">
        <x:v>[]</x:v>
      </x:c>
      <x:c r="I18" s="7" t="str">
        <x:v>[]</x:v>
      </x:c>
      <x:c r="J18" s="7" t="str">
        <x:v>[]</x:v>
      </x:c>
      <x:c r="K18" s="7" t="str">
        <x:v>[]</x:v>
      </x:c>
      <x:c r="L18" s="7" t="str">
        <x:v>[]</x:v>
      </x:c>
      <x:c r="M18" s="7" t="str">
        <x:v>[]</x:v>
      </x:c>
      <x:c r="N18" s="7" t="str">
        <x:v>[]</x:v>
      </x:c>
      <x:c r="O18" s="7" t="str">
        <x:v>[]</x:v>
      </x:c>
      <x:c r="P18" s="7" t="str">
        <x:v>[]</x:v>
      </x:c>
      <x:c r="Q18" s="8" t="str">
        <x:v>no</x:v>
      </x:c>
      <x:c r="R18" s="8" t="str">
        <x:v>yes</x:v>
      </x:c>
      <x:c r="S18" s="8" t="str">
        <x:v>yes</x:v>
      </x:c>
      <x:c r="T18" s="7" t="str">
        <x:v>Reviewed against title, duties, mapped skills and detection sources.</x:v>
      </x:c>
    </x:row>
    <x:row r="19">
      <x:c r="A19" s="5" t="str">
        <x:v>neither</x:v>
      </x:c>
      <x:c r="B19" s="5" t="str">
        <x:v>27873671</x:v>
      </x:c>
      <x:c r="C19" s="7" t="str">
        <x:v>Auditor M/F</x:v>
      </x:c>
      <x:c r="D19" s="7" t="str">
        <x:v>Your responsibilities: - Carry out financial audit missions for a diverse clientele, paying particular attention to the quality of files and current accounting standards. - Participate in risk analysis and the development of audit plans. - Write summary notes - Make strategic recommendations to clients to optimize their financial processes. - Contribute to the continuous improvement of audit methods and tools used. Profile sought: - You hold a degree in finance, accounting or any other relevant field. - You have at least 3 years of successful experience in financial auditing, ideally acquired in an accounting firm. - You are familiar with IT tools related to auditing (ideally software such as Caseware, Auditsoft, etc.). - Your sense of analysis, your methodological rigor and your critical thinking make you a trusted auditor. - With excellent interpersonal skills, you know how to establish strong links with clients and internal teams. Your application will be examined in complete confidentiality. So don't hesitate any longer and apply!</x:v>
      </x:c>
      <x:c r="E19" s="5" t="str">
        <x:v>42500.0</x:v>
      </x:c>
      <x:c r="F19" s="5" t="str">
        <x:v>1ad59946-d13e-441e-9b36-56e1df055e21</x:v>
      </x:c>
      <x:c r="G19" s="7" t="str">
        <x:v>["accounting", "audit techniques", "conduct financial audits", "develop audit plan", "perform risk analysis"]</x:v>
      </x:c>
      <x:c r="H19" s="7" t="str">
        <x:v>[]</x:v>
      </x:c>
      <x:c r="I19" s="7" t="str">
        <x:v>[]</x:v>
      </x:c>
      <x:c r="J19" s="7" t="str">
        <x:v>[]</x:v>
      </x:c>
      <x:c r="K19" s="7" t="str">
        <x:v>[]</x:v>
      </x:c>
      <x:c r="L19" s="7" t="str">
        <x:v>[]</x:v>
      </x:c>
      <x:c r="M19" s="7" t="str">
        <x:v>[]</x:v>
      </x:c>
      <x:c r="N19" s="7" t="str">
        <x:v>[]</x:v>
      </x:c>
      <x:c r="O19" s="7" t="str">
        <x:v>[]</x:v>
      </x:c>
      <x:c r="P19" s="7" t="str">
        <x:v>[]</x:v>
      </x:c>
      <x:c r="Q19" s="8" t="str">
        <x:v>no</x:v>
      </x:c>
      <x:c r="R19" s="8" t="str">
        <x:v>yes</x:v>
      </x:c>
      <x:c r="S19" s="8" t="str">
        <x:v>yes</x:v>
      </x:c>
      <x:c r="T19" s="7" t="str">
        <x:v>Reviewed against title, duties, mapped skills and detection sources.</x:v>
      </x:c>
    </x:row>
    <x:row r="20">
      <x:c r="A20" s="5" t="str">
        <x:v>neither</x:v>
      </x:c>
      <x:c r="B20" s="5" t="str">
        <x:v>52083727</x:v>
      </x:c>
      <x:c r="C20" s="7" t="str">
        <x:v>Mason / Mason (M/F)</x:v>
      </x:c>
      <x:c r="D20" s="7" t="str">
        <x:v>Job description: We are recruiting for our client, leader in Roads and Miscellaneous Networks work. Location: Bourg-en-Bresse Contract: Temporary Salary: €12.50/h gross Working time: 35 hours/week Job description Masonry VRD: curbs, paving stones, gutters Work on wet and dry networks Earthworks, backfilling, leveling Installation of structures: manholes, ducts, draft chambers Reading and interpretation of plans Strict compliance with safety rules Profile sought Training CAP/BEP/Bac Pro Masonry or Public Works Or minimum 2 years' experience in VRD masonry Mastery of VRD techniques Autonomy, rigor, team spirit B license appreciated Advantages Synergie IFM: +10% end of mission compensation ICCP: +10% paid leave Reduced rates: cinema, shows, leisure, shopping Synergy participation bonus Employee savings: Synergy contribution 6%/year Aid: mutual insurance, housing, childcare, retirement, permit Description of the profile: Build a stone wall - Raise a brick wall - Create signage markings on the ground - Build special structures (swimming pools, chimneys, vaults, funerary monuments Surface and float a slab - Create a smoke duct - Assemble formwork elements - Create expansion joints - Assemble the heavy supporting structures of a structure - Assembling concrete blocks or bricks - Characteristics of reinforcements - Costing, cost calculation - Reading plans, diagrams - Sound insulation standards - Coating application techniques - Concrete pouring techniques - Drilling techniques - Jointing techniques - Masonry techniques - Concrete cutting Precision - Team spirit - Manual skill - Adaptability - Versatility - Attention to detail - Vigilance - Prudence Electrical accreditation B1: Electrician executor - Electrical accreditation B1T: Electrician executor, live work - Electrical accreditation B1V: Electrician executor, work in the neighborhood - Electrical accreditation B2: Responsible for electrical work - Electrical accreditation B2V: Responsible for electrical work, work in the neighborhood - Electrical accreditation BC: Consignment officer - Electrical accreditation BE: Responsible for specific operations - Electrical accreditation B0: Non-electrical work - Electrical clearance BP: Operations manager on photovoltaic installations - Electrical clearance BR: General LV intervention officer - Electrical clearance BS: Basic LV intervention officer - Low and Very Low Voltage electrical clearance - Electrical clearance H0: Non-electrical work - Electrical clearance H1: Electrician contractor - Electrical clearance H1V: Contractor electrician, work in the neighborhood - Electrical accreditation H2: Responsible for electrical work - Electrical accreditation H2V: Responsible for electrical work, work in the neighborhood - Electrical accreditation HC: Consignment officer - High voltage electrical accreditation - Nuclear accreditation level 1 (HN1) - Nuclear accreditation level 2 (HN2) - Electrical accreditation BE maneuvers - Electrical accreditation H0B0 (non-electrician) - Electrical accreditation H0V: Non-electrical work in reinforced surroundings</x:v>
      </x:c>
      <x:c r="E20" s="5" t="str">
        <x:v>21168.0</x:v>
      </x:c>
      <x:c r="F20" s="5" t="str">
        <x:v>05f321f8-055b-407d-bf19-e0ddabda56b7</x:v>
      </x:c>
      <x:c r="G20" s="7" t="str">
        <x:v>["babysitting", "lay stones", "recreation activities"]</x:v>
      </x:c>
      <x:c r="H20" s="7" t="str">
        <x:v>[]</x:v>
      </x:c>
      <x:c r="I20" s="7" t="str">
        <x:v>[]</x:v>
      </x:c>
      <x:c r="J20" s="7" t="str">
        <x:v>[]</x:v>
      </x:c>
      <x:c r="K20" s="7" t="str">
        <x:v>[]</x:v>
      </x:c>
      <x:c r="L20" s="7" t="str">
        <x:v>[]</x:v>
      </x:c>
      <x:c r="M20" s="7" t="str">
        <x:v>[]</x:v>
      </x:c>
      <x:c r="N20" s="7" t="str">
        <x:v>[]</x:v>
      </x:c>
      <x:c r="O20" s="7" t="str">
        <x:v>[]</x:v>
      </x:c>
      <x:c r="P20" s="7" t="str">
        <x:v>[]</x:v>
      </x:c>
      <x:c r="Q20" s="8" t="str">
        <x:v>no</x:v>
      </x:c>
      <x:c r="R20" s="8" t="str">
        <x:v>yes</x:v>
      </x:c>
      <x:c r="S20" s="8" t="str">
        <x:v>yes</x:v>
      </x:c>
      <x:c r="T20" s="7" t="str">
        <x:v>Reviewed against title, duties, mapped skills and detection sources.</x:v>
      </x:c>
    </x:row>
    <x:row r="21">
      <x:c r="A21" s="5" t="str">
        <x:v>neither</x:v>
      </x:c>
      <x:c r="B21" s="5" t="str">
        <x:v>1880-0735454a21b8fe6</x:v>
      </x:c>
      <x:c r="C21" s="7" t="str">
        <x:v>IDEC H/F</x:v>
      </x:c>
      <x:c r="D21" s="7" t="str">
        <x:v>Description: KEY INFO: IDEC M/F - MEDICALIZED RECEPTION ESTABLISHMENT – ADULT MEDICO-SOCIAL SECTOR – CDI – ROUEN (76) The position is located within a medical-social establishment located near ROUEN welcoming adults with disabilities. Your main missions are as follows: - Supervise and support the healthcare teams in conjunction with management (recruitment, integration, planning, skills monitoring). - Coordinate and monitor the implementation of resident care projects. - Guarantee the quality, safety and continuity of care. - Structuring the operation of the service and leading multidisciplinary thinking. - Contribute to the implementation of the establishment project and cross-functional projects. Requirements: - IDE diploma required - Experience in management of healthcare teams, ideally in a medical-social or psychiatric establishment. - Ability to evolve in a multidisciplinary environment, with perspective, rigor and a sense of discernment. - Relational qualities and sense of collectiveness, with a structuring, calm and loyal posture. - Taste for work in coordination and active participation in institutional dynamics. Benefits: Salary and conditions - Salary according to CCN 51 - Executive status - On-call obligations - Permanent contract - Take up position as soon as possible. Recruitment process: - Interview with a SELECT-IN consultant - Interview with our client.</x:v>
      </x:c>
      <x:c r="E21" s="5" t="str">
        <x:v>46000.0</x:v>
      </x:c>
      <x:c r="F21" s="5" t="str">
        <x:v>8d3e8aaa-791b-4c75-a465-f3f827028f50</x:v>
      </x:c>
      <x:c r="G21" s="7" t="str">
        <x:v>["contribute to continuity of health care", "multidisciplinary research", "promote health and safety"]</x:v>
      </x:c>
      <x:c r="H21" s="7" t="str">
        <x:v>[]</x:v>
      </x:c>
      <x:c r="I21" s="7" t="str">
        <x:v>[]</x:v>
      </x:c>
      <x:c r="J21" s="7" t="str">
        <x:v>[]</x:v>
      </x:c>
      <x:c r="K21" s="7" t="str">
        <x:v>[]</x:v>
      </x:c>
      <x:c r="L21" s="7" t="str">
        <x:v>[]</x:v>
      </x:c>
      <x:c r="M21" s="7" t="str">
        <x:v>[]</x:v>
      </x:c>
      <x:c r="N21" s="7" t="str">
        <x:v>[]</x:v>
      </x:c>
      <x:c r="O21" s="7" t="str">
        <x:v>[]</x:v>
      </x:c>
      <x:c r="P21" s="7" t="str">
        <x:v>[]</x:v>
      </x:c>
      <x:c r="Q21" s="8" t="str">
        <x:v>no</x:v>
      </x:c>
      <x:c r="R21" s="8" t="str">
        <x:v>yes</x:v>
      </x:c>
      <x:c r="S21" s="8" t="str">
        <x:v>yes</x:v>
      </x:c>
      <x:c r="T21" s="7" t="str">
        <x:v>Reviewed against title, duties, mapped skills and detection sources.</x:v>
      </x:c>
    </x:row>
    <x:row r="22">
      <x:c r="A22" s="5" t="str">
        <x:v>neither</x:v>
      </x:c>
      <x:c r="B22" s="5" t="str">
        <x:v>52092886</x:v>
      </x:c>
      <x:c r="C22" s="7" t="str">
        <x:v>Administrative and financial manager / administrative and financial (M/F)</x:v>
      </x:c>
      <x:c r="D22" s="7" t="str">
        <x:v>Job description: CabRH, a recruitment and direct approach firm, is recruiting for its client, a maritime transport company, an Administrative and Financial Manager - F/M, in the 2nd arrondissement of Marseille. Reporting to the Managing Director and the Presidency, you will ensure the complete accounting of the company until the balance sheet is drawn up, in close collaboration with the accountant and the auditor, for an annual turnover of 20 million euros. Your missions Accounting for all accounting journals: purchases, sales, banks, cash registers - Daily accounting entry - Lettering of customer and supplier accounts - Bank reconciliations - Monitoring, analysis and justification of accounts - Management of fixed assets and calculation of depreciation - Preparation of monthly, quarterly and annual closings - Inventory entries: FNP, PAR, CCA, provisions - Preparation of the income statement and balance sheet - Establishment and declaration of the VAT - Preparation of current tax declarations (IS, CVAE, specific taxes) - Interface with the accountant and the auditor Your profile Training in accounting (Master 2, DCG, DSCG or equivalent Experience in an accounting firm desired for 360 business vision Software: Sage, payroll tools and Microsoft Office pack An interest in AI, automation and Data-visualization tools would also be very appreciated. Benefits &amp; remuneration Pleasant and secure premises Evolution positive towards a confirmed RAF position, then DAF, envisaged within two years, subject to the achievement of the defined objectives and the increase in skills of the employee Remuneration between €50K and €55K CabRH would be delighted to study your application!</x:v>
      </x:c>
      <x:c r="E22" s="5" t="str">
        <x:v>52500.0</x:v>
      </x:c>
      <x:c r="F22" s="5" t="str">
        <x:v>30f3ea93-882a-4525-841c-1d5b4b64076f</x:v>
      </x:c>
      <x:c r="G22" s="7" t="str">
        <x:v>["automation technology", "data visualisation software", "examine budgets", "investment banking", "perform balance sheet operations", "recruit personnel", "sales activities"]</x:v>
      </x:c>
      <x:c r="H22" s="7" t="str">
        <x:v>["data visualisation software"]</x:v>
      </x:c>
      <x:c r="I22" s="7" t="str">
        <x:v>[]</x:v>
      </x:c>
      <x:c r="J22" s="7" t="str">
        <x:v>["data_analysis"]</x:v>
      </x:c>
      <x:c r="K22" s="7" t="str">
        <x:v>[]</x:v>
      </x:c>
      <x:c r="L22" s="7" t="str">
        <x:v>[]</x:v>
      </x:c>
      <x:c r="M22" s="7" t="str">
        <x:v>["data_analysis"]</x:v>
      </x:c>
      <x:c r="N22" s="7" t="str">
        <x:v>[]</x:v>
      </x:c>
      <x:c r="O22" s="7" t="str">
        <x:v>["esco"]</x:v>
      </x:c>
      <x:c r="P22" s="7" t="str">
        <x:v>[]</x:v>
      </x:c>
      <x:c r="Q22" s="8" t="str">
        <x:v>no</x:v>
      </x:c>
      <x:c r="R22" s="8" t="str">
        <x:v>yes</x:v>
      </x:c>
      <x:c r="S22" s="8" t="str">
        <x:v>yes</x:v>
      </x:c>
      <x:c r="T22" s="7" t="str">
        <x:v>Reviewed against title, duties, mapped skills and detection sources.</x:v>
      </x:c>
    </x:row>
    <x:row r="23">
      <x:c r="A23" s="5" t="str">
        <x:v>neither</x:v>
      </x:c>
      <x:c r="B23" s="5" t="str">
        <x:v>202CZRT</x:v>
      </x:c>
      <x:c r="C23" s="7" t="str">
        <x:v>Responsable adjoint ACM (H/F)</x:v>
      </x:c>
      <x:c r="D23" s="7" t="str">
        <x:v>La Passerelle is recruiting an ACM Assistant Manager M/F - Full-time permanent contract On an after-school and extra-curricular system (Entremont) Starting position as soon as possible La Passerelle is firstly a place, then, it is a global, innovative and creative project which combines a Social Center and a Cultural Relay strongly involved in a dynamic of social and cultural development aimed at children, families and the inhabitants of Rixheim. Committed to an approach to developing the power to act and deploying cultural rights in the territory, La Passerelle is also a place of resources and services for all, a place for creating projects by, for and with residents, a place of art and culture. We support citizenship education from an early age and also facilitate access to the arts. Our identity is built in the articulation of social and culture as a factor of emancipation, relying on the thinking of the greatest educators and innovative artistic productions. Located in the town of Rixheim, La Passerelle has nearly 2,400 members, 150 employees and 54 volunteers serving a regional project. The La Passerelle social center and cultural relay is made up of 3 crèches and 3 extracurriculars (500 places) - a leisure reception with 100 places - a youth service - a social development service for families - a Child-Parent Welcome Place - an Early Childhood Network - cultural facilities including a 220-seat performance hall and cinema - a Biluthèque with a collection of 18,430 books and 2,648 games and 405 CD-DVD - a training organization that supports the development of skills in education, social action and culture. Your main missions Placed under the authority of the ACM manager, you develop and implement the educational project of the Collective Reception of Minors (ACM) by: - Actively participating in the definition and implementation of the educational project - Participating in the management and animation of the animation team - Participating in the development of the association's project You participate in the management and animation of the team by: - Ensuring control of data specific to the child and transmettant les informations fiables aux équipes (effectifs, fiche de renseignements, régime alimentaire, droit à l'image.) et au Responsable ACM - Organisant, suivant le travail quotidien de l'équipe - Animant des réunions d'équipe, partager les objectifs du projet pédagogique - Assurant le suivi administratif du temps de travail des animateurs en lien avec le Responsable ACM - Organisant la diffusion de l'information auprès de l'équipe et la remontée d'information auprès du Responsable ACM Profil recherché - Diplôme de l'animation professionnelle BPJEPS LTP or equivalent required; significant experience in collective reception of minors - Mastery of the regulations in collective reception of minors set by the supervisory body - Mastery of active teaching tools and knowledge of the HACCP system - Strength of proposal - Sense of responsibility, autonomy and initiative - Recognizes oneself within the values ​​of popular education To apply Send your CV and cover letter to be sent by email to: emploienfant@ la-passerelle.fr</x:v>
      </x:c>
      <x:c r="E23" s="5" t="str">
        <x:v>27345.0</x:v>
      </x:c>
      <x:c r="F23" s="5" t="str">
        <x:v>526ba8e1-fc71-4657-8d27-52f03e8ca81d</x:v>
      </x:c>
      <x:c r="G23" s="7" t="str">
        <x:v>["patient autonomy", "represent artistic production"]</x:v>
      </x:c>
      <x:c r="H23" s="7" t="str">
        <x:v>[]</x:v>
      </x:c>
      <x:c r="I23" s="7" t="str">
        <x:v>[]</x:v>
      </x:c>
      <x:c r="J23" s="7" t="str">
        <x:v>[]</x:v>
      </x:c>
      <x:c r="K23" s="7" t="str">
        <x:v>[]</x:v>
      </x:c>
      <x:c r="L23" s="7" t="str">
        <x:v>[]</x:v>
      </x:c>
      <x:c r="M23" s="7" t="str">
        <x:v>[]</x:v>
      </x:c>
      <x:c r="N23" s="7" t="str">
        <x:v>[]</x:v>
      </x:c>
      <x:c r="O23" s="7" t="str">
        <x:v>[]</x:v>
      </x:c>
      <x:c r="P23" s="7" t="str">
        <x:v>[]</x:v>
      </x:c>
      <x:c r="Q23" s="8" t="str">
        <x:v>no</x:v>
      </x:c>
      <x:c r="R23" s="8" t="str">
        <x:v>yes</x:v>
      </x:c>
      <x:c r="S23" s="8" t="str">
        <x:v>yes</x:v>
      </x:c>
      <x:c r="T23" s="7" t="str">
        <x:v>Reviewed against title, duties, mapped skills and detection sources.</x:v>
      </x:c>
    </x:row>
    <x:row r="24">
      <x:c r="A24" s="5" t="str">
        <x:v>neither</x:v>
      </x:c>
      <x:c r="B24" s="5" t="str">
        <x:v>203QVFM</x:v>
      </x:c>
      <x:c r="C24" s="7" t="str">
        <x:v>Aeronautical Composite Methods Preparer (F/M)</x:v>
      </x:c>
      <x:c r="D24" s="7" t="str">
        <x:v>Clara, Estelle and Françoise, your in-flight team is taking you on board for this recruitment for our client Airbus Helicopters. We are committed to a long journey, Crit Aéro is recruiting for CDII and Temporary Work missions. We tell you everything!! Let's take a look at your flight plan and the expectations of the position: - Co-design and industrialization Participation in all design phases to guarantee that industrial needs are taken into account and the integration of best manufacturing practices. - Work preparation Creation and updating of operating ranges, nomenclatures and manufacturing instructions according to Airbus standards. Definition of processes, times and operating sequences. Start of production - Management of the transfer to the workshop, monitoring of the first installation and implementation of feedback loops with production. - Continuous improvement Technical support to production teams, resolution of recurring problems and optimization of processes for industrial performance. - Quality and compliance Contribution to PFMEA/FMEA analyses, compliance with quality, safety and environmental requirements, and participation in investment planning. The little extra of Crit Aéro?! the Crit Aéro teams wish you a pleasant flight within our Company and guarantee their presence upon landing to prepare for your future... Before boarding, let's check that we have not forgotten anything, in your luggage, you will need: Your boarding pass: - Rigor, attention to detail, teamwork Your passport: - Experience in aeronautics - Knowledge of composite materials All our positions are open to candidates with disabilities.</x:v>
      </x:c>
      <x:c r="E24" s="5" t="str">
        <x:v>31000.0</x:v>
      </x:c>
      <x:c r="F24" s="5" t="str">
        <x:v>53be4843-8f31-4645-b25c-9a5bbb04f6b6</x:v>
      </x:c>
      <x:c r="G24" s="7" t="str">
        <x:v>["continuous improvement philosophies", "environmental management standards", "hire post-production team", "industrial design", "promote health and safety", "quality standards"]</x:v>
      </x:c>
      <x:c r="H24" s="7" t="str">
        <x:v>[]</x:v>
      </x:c>
      <x:c r="I24" s="7" t="str">
        <x:v>[]</x:v>
      </x:c>
      <x:c r="J24" s="7" t="str">
        <x:v>[]</x:v>
      </x:c>
      <x:c r="K24" s="7" t="str">
        <x:v>[]</x:v>
      </x:c>
      <x:c r="L24" s="7" t="str">
        <x:v>[]</x:v>
      </x:c>
      <x:c r="M24" s="7" t="str">
        <x:v>[]</x:v>
      </x:c>
      <x:c r="N24" s="7" t="str">
        <x:v>[]</x:v>
      </x:c>
      <x:c r="O24" s="7" t="str">
        <x:v>[]</x:v>
      </x:c>
      <x:c r="P24" s="7" t="str">
        <x:v>[]</x:v>
      </x:c>
      <x:c r="Q24" s="8" t="str">
        <x:v>no</x:v>
      </x:c>
      <x:c r="R24" s="8" t="str">
        <x:v>yes</x:v>
      </x:c>
      <x:c r="S24" s="8" t="str">
        <x:v>yes</x:v>
      </x:c>
      <x:c r="T24" s="7" t="str">
        <x:v>Reviewed against title, duties, mapped skills and detection sources.</x:v>
      </x:c>
    </x:row>
    <x:row r="25">
      <x:c r="A25" s="5" t="str">
        <x:v>neither</x:v>
      </x:c>
      <x:c r="B25" s="5" t="str">
        <x:v>204HTDZ</x:v>
      </x:c>
      <x:c r="C25" s="7" t="str">
        <x:v>“Hot” party leader (M/F)</x:v>
      </x:c>
      <x:c r="D25" s="7" t="str">
        <x:v>The Arinella Bianca 5* campsite is an institution in Corsica, so for our seaside restaurant, we are looking to complete our team a chef capable of going from cold to hot without difficulty. In the spirit of a small menu that changes from day to day with suggestions, we will rely on your know-how and the experience of our collaborators in order to achieve customer satisfaction and the diversity of meals. The position is housed alone with air conditioning and private bathroom, fed for lunch and dinner even on off days, laundered (3 washing machine tokens per week). Starting position from April 27 to September 30, 2026.</x:v>
      </x:c>
      <x:c r="E25" s="5" t="str">
        <x:v>27972.0</x:v>
      </x:c>
      <x:c r="F25" s="5" t="str">
        <x:v>90f75f67-495d-49fa-ab57-2f320e251d7e</x:v>
      </x:c>
      <x:c r="G25" s="7" t="str">
        <x:v>[]</x:v>
      </x:c>
      <x:c r="H25" s="7" t="str">
        <x:v>[]</x:v>
      </x:c>
      <x:c r="I25" s="7" t="str">
        <x:v>[]</x:v>
      </x:c>
      <x:c r="J25" s="7" t="str">
        <x:v>[]</x:v>
      </x:c>
      <x:c r="K25" s="7" t="str">
        <x:v>[]</x:v>
      </x:c>
      <x:c r="L25" s="7" t="str">
        <x:v>[]</x:v>
      </x:c>
      <x:c r="M25" s="7" t="str">
        <x:v>[]</x:v>
      </x:c>
      <x:c r="N25" s="7" t="str">
        <x:v>[]</x:v>
      </x:c>
      <x:c r="O25" s="7" t="str">
        <x:v>[]</x:v>
      </x:c>
      <x:c r="P25" s="7" t="str">
        <x:v>[]</x:v>
      </x:c>
      <x:c r="Q25" s="8" t="str">
        <x:v>no</x:v>
      </x:c>
      <x:c r="R25" s="8" t="str">
        <x:v>yes</x:v>
      </x:c>
      <x:c r="S25" s="8" t="str">
        <x:v>yes</x:v>
      </x:c>
      <x:c r="T25" s="7" t="str">
        <x:v>Reviewed against title, duties, mapped skills and detection sources.</x:v>
      </x:c>
    </x:row>
    <x:row r="26">
      <x:c r="A26" s="5" t="str">
        <x:v>neither</x:v>
      </x:c>
      <x:c r="B26" s="5" t="str">
        <x:v>51413319</x:v>
      </x:c>
      <x:c r="C26" s="7" t="str">
        <x:v>Carpenter / Workshop carpenter (M/F)</x:v>
      </x:c>
      <x:c r="D26" s="7" t="str">
        <x:v>Job description: Do you like manual, precise and concrete work in a workshop environment that values ​​know-how? Aquila RH Béthune, a local agency of Mistertemp'Group located in Béthune, specializes in construction and industry professions. Led by a couple of experienced entrepreneurs, the agency is looking for a SHOP CARPENTER M/F for one of its clients with a view to a permanent contract in RUITZ / BARLIN. Our mission: to connect talents and opportunities. Come meet Virginie, Xavier and Floriane, who will listen to you and support you in the success of your professional projects. If you are looking for a new adventure, you are in the right place Your missions · Reading of plans and manufacturing sheets · Manufacturing and assembly of wooden works (joinery, fixtures, furniture Use of workshop machines (saw, planer, router, jointer Adjustment, assembly and finishing of parts · Quality control of the works produced · Compliance with safety instructions and careful work in the workshop Profile description: Prerequisites The Aquila RH Béthune approach · Contacts present and available · Missions offered in line with your level and experience · Local companies followed and known · Clear discussions before each position Information · Contract: Full-time permanent contract Profile sought · Minimum 2 years of experience in workshop carpentry · Good command of reading plans · Autonomy, seriousness and precision · Attention to detail and careful work · Good organization and respect for deadlines · Team spirit and reliability Additional information Contract type: CDI Working time: Full time</x:v>
      </x:c>
      <x:c r="E26" s="5" t="str">
        <x:v>24696.0</x:v>
      </x:c>
      <x:c r="F26" s="5" t="str">
        <x:v>2a22ff9e-de3b-408d-b312-5034896cc4f4</x:v>
      </x:c>
      <x:c r="G26" s="7" t="str">
        <x:v>["attend to detail"]</x:v>
      </x:c>
      <x:c r="H26" s="7" t="str">
        <x:v>[]</x:v>
      </x:c>
      <x:c r="I26" s="7" t="str">
        <x:v>[]</x:v>
      </x:c>
      <x:c r="J26" s="7" t="str">
        <x:v>[]</x:v>
      </x:c>
      <x:c r="K26" s="7" t="str">
        <x:v>[]</x:v>
      </x:c>
      <x:c r="L26" s="7" t="str">
        <x:v>[]</x:v>
      </x:c>
      <x:c r="M26" s="7" t="str">
        <x:v>[]</x:v>
      </x:c>
      <x:c r="N26" s="7" t="str">
        <x:v>[]</x:v>
      </x:c>
      <x:c r="O26" s="7" t="str">
        <x:v>[]</x:v>
      </x:c>
      <x:c r="P26" s="7" t="str">
        <x:v>[]</x:v>
      </x:c>
      <x:c r="Q26" s="8" t="str">
        <x:v>no</x:v>
      </x:c>
      <x:c r="R26" s="8" t="str">
        <x:v>yes</x:v>
      </x:c>
      <x:c r="S26" s="8" t="str">
        <x:v>yes</x:v>
      </x:c>
      <x:c r="T26" s="7" t="str">
        <x:v>Reviewed against title, duties, mapped skills and detection sources.</x:v>
      </x:c>
    </x:row>
    <x:row r="27">
      <x:c r="A27" s="5" t="str">
        <x:v>neither</x:v>
      </x:c>
      <x:c r="B27" s="5" t="str">
        <x:v>28371916</x:v>
      </x:c>
      <x:c r="C27" s="7" t="str">
        <x:v>Saint-Lô - PAYROLL MANAGER (M/F)</x:v>
      </x:c>
      <x:c r="D27" s="7" t="str">
        <x:v>Want to take on a new professional challenge? We are recruiting! MOMENTI, a recruitment and headhunting firm, is now supporting an accounting and auditing firm in the recruitment of a permanent Payroll Manager. Our customer? A dynamic firm, anchored in values ​​of progression and proximity. The atmosphere is friendly, the missions varied and the perspectives real! The position is located in Saint-Lô. What you will do on a daily basis: - Establish pay slips in compliance with social and contractual legislation - Manage monthly, quarterly and annual social declarations - Ensure administrative monitoring of employees: contracts, absences, leave, certificates - Advise clients on current social issues - Ensure that payroll software settings are updated What we are looking for: - Bac+2 to Bac+3 training in payroll management, HR or accounting - A first successful experience in firm, work-study programs and internships included - Rigor, discretion, sense of customer service and autonomy - Good command of IT tools, in particular Excel and payroll software What the firm offers you: - A permanent contract - Remuneration of between 26,000 and 36,000 EUR gross per year, depending on your profile and experience - Concrete advantages: bonuses, restaurant vouchers, teleworking, flexible hours, etc. - A fulfilling, dynamic professional environment attentive to your life balance !Are you interested in this offer? Don't wait any longer to apply! Our team studies each application carefully. If your profile matches our client's expectations, we will contact you quickly. If there is no response within 3 days, this means that your profile does not meet our client's expectations this time.</x:v>
      </x:c>
      <x:c r="E27" s="5" t="str">
        <x:v>30000.0</x:v>
      </x:c>
      <x:c r="F27" s="5" t="str">
        <x:v>eda0d957-3c3c-4139-b89a-a18bc9e18897</x:v>
      </x:c>
      <x:c r="G27" s="7" t="str">
        <x:v>["accounting techniques", "recruit personnel"]</x:v>
      </x:c>
      <x:c r="H27" s="7" t="str">
        <x:v>[]</x:v>
      </x:c>
      <x:c r="I27" s="7" t="str">
        <x:v>[]</x:v>
      </x:c>
      <x:c r="J27" s="7" t="str">
        <x:v>[]</x:v>
      </x:c>
      <x:c r="K27" s="7" t="str">
        <x:v>[]</x:v>
      </x:c>
      <x:c r="L27" s="7" t="str">
        <x:v>[]</x:v>
      </x:c>
      <x:c r="M27" s="7" t="str">
        <x:v>[]</x:v>
      </x:c>
      <x:c r="N27" s="7" t="str">
        <x:v>[]</x:v>
      </x:c>
      <x:c r="O27" s="7" t="str">
        <x:v>[]</x:v>
      </x:c>
      <x:c r="P27" s="7" t="str">
        <x:v>[]</x:v>
      </x:c>
      <x:c r="Q27" s="8" t="str">
        <x:v>no</x:v>
      </x:c>
      <x:c r="R27" s="8" t="str">
        <x:v>yes</x:v>
      </x:c>
      <x:c r="S27" s="8" t="str">
        <x:v>yes</x:v>
      </x:c>
      <x:c r="T27" s="7" t="str">
        <x:v>Reviewed against title, duties, mapped skills and detection sources.</x:v>
      </x:c>
    </x:row>
    <x:row r="28">
      <x:c r="A28" s="5" t="str">
        <x:v>neither</x:v>
      </x:c>
      <x:c r="B28" s="5" t="str">
        <x:v>75435</x:v>
      </x:c>
      <x:c r="C28" s="7" t="str">
        <x:v>Medical Information Technician M/F</x:v>
      </x:c>
      <x:c r="D28" s="7" t="str">
        <x:v>[75435] GH Diaconesses Croix Saint-Simon We are recruiting a Medical Information Technician (TIM) M/F on a permanent, full-time basis Environment: Attached to the Financial Affairs Department, the Medical Information Department collects, analyses, codes and transmits the hospital's activity to the authorities within the framework of the PMSI and the T2A for the promotion of activities carried out in hospitalization. Under the responsibility of the DIM doctor, your mission is to collect and process medical information concerning patients with a view to describing, analyzing and evaluating the medical activity of the establishment. You will be responsible in particular for: - The entry, coding, control and analysis of medical information, - The regular monitoring of the completeness and quality of the medical-administrative information, - The training and awareness of the establishment's professionals in the use of entry, assistance and coding control tools, and the reading of their activity reports, - The regular or ad hoc production of statistics, - The planning and implementation of the deployment of materials, means, systems relating to its area of expertise. Job conditions: -35 hour shift from Monday to Friday -Position in Reuilly and Avron Benefits: -Individual and group training -Employer coverage of 55% of the public transport subscription or reimbursement of up to €522 per year of sustainable mobility package -Teleworking charter for one day per week -C.S.E benefits (ticketing, travel, reimbursement, etc.) -Well-being actions (sophrology, osteopathy, yoga, etc.) Description of the profile sought: You have: Previous experience of 5 years desirable in the PMSI field in MCO, and you master medical terminology and basic office tools (Office Pack). You are organized, rigorous, have a sense of priorities and knowledge of the hospital environment. Your analytical skills, your ability to adapt to technological developments and your interpersonal skills will be appreciated. Additional training relating to PMSI (License, DU, other.) is a plus. Time of day: Day</x:v>
      </x:c>
      <x:c r="E28" s="5" t="str">
        <x:v>29802.0</x:v>
      </x:c>
      <x:c r="F28" s="5" t="str">
        <x:v>6219f0ef-6414-4d01-9221-41ac25dcb409</x:v>
      </x:c>
      <x:c r="G28" s="7" t="str">
        <x:v>["osteopathy"]</x:v>
      </x:c>
      <x:c r="H28" s="7" t="str">
        <x:v>[]</x:v>
      </x:c>
      <x:c r="I28" s="7" t="str">
        <x:v>[]</x:v>
      </x:c>
      <x:c r="J28" s="7" t="str">
        <x:v>[]</x:v>
      </x:c>
      <x:c r="K28" s="7" t="str">
        <x:v>[]</x:v>
      </x:c>
      <x:c r="L28" s="7" t="str">
        <x:v>[]</x:v>
      </x:c>
      <x:c r="M28" s="7" t="str">
        <x:v>[]</x:v>
      </x:c>
      <x:c r="N28" s="7" t="str">
        <x:v>[]</x:v>
      </x:c>
      <x:c r="O28" s="7" t="str">
        <x:v>[]</x:v>
      </x:c>
      <x:c r="P28" s="7" t="str">
        <x:v>[]</x:v>
      </x:c>
      <x:c r="Q28" s="8" t="str">
        <x:v>no</x:v>
      </x:c>
      <x:c r="R28" s="8" t="str">
        <x:v>yes</x:v>
      </x:c>
      <x:c r="S28" s="8" t="str">
        <x:v>yes</x:v>
      </x:c>
      <x:c r="T28" s="7" t="str">
        <x:v>Reviewed against title, duties, mapped skills and detection sources.</x:v>
      </x:c>
    </x:row>
    <x:row r="29">
      <x:c r="A29" s="5" t="str">
        <x:v>neither</x:v>
      </x:c>
      <x:c r="B29" s="5" t="str">
        <x:v>3943546</x:v>
      </x:c>
      <x:c r="C29" s="7" t="str">
        <x:v>Roofer (M/F)</x:v>
      </x:c>
      <x:c r="D29" s="7" t="str">
        <x:v>Get on board with Start People... Permanent contract, fixed-term contract or temporary contract, whatever the sector of activity, Start People supports you in your job search. Our teams, spread across 245 agencies across France, are in the starting blocks to land the missions you need while prioritizing professional and human relations. Your Start People agency in REIMS BTP is looking for a roofer (M/F) for one of its clients. POSITION: ROOFING TEAM LEADER (M/F) Your main tasks will be: - Supervision and coordination of the work - Creation of plans and proposals (materials, shape of the roof) - Distribution of tasks within the team, - Controlling the completion of tasks, resolution of problems - Preparation of the intervention with your team on the site - Management of equipment, supervision of the installation of scaffolding - Preparation of the surface to cover PROFILE: You are able to work at height, you are rigorous, autonomous and precise, enjoy teamwork and respect safety rules. This position is made for you! Apply now for this ad! As part of its Diversity policy, Start People studies all applications, including those from people with disabilities, for equal qualifications.</x:v>
      </x:c>
      <x:c r="E29" s="5" t="str">
        <x:v>27000.0</x:v>
      </x:c>
      <x:c r="F29" s="5" t="str">
        <x:v>b4c6d1b0-929e-48be-9f67-47bd8c30658b</x:v>
      </x:c>
      <x:c r="G29" s="7" t="str">
        <x:v>["plan scaffolding", "work with respect for own safety"]</x:v>
      </x:c>
      <x:c r="H29" s="7" t="str">
        <x:v>[]</x:v>
      </x:c>
      <x:c r="I29" s="7" t="str">
        <x:v>[]</x:v>
      </x:c>
      <x:c r="J29" s="7" t="str">
        <x:v>[]</x:v>
      </x:c>
      <x:c r="K29" s="7" t="str">
        <x:v>[]</x:v>
      </x:c>
      <x:c r="L29" s="7" t="str">
        <x:v>[]</x:v>
      </x:c>
      <x:c r="M29" s="7" t="str">
        <x:v>[]</x:v>
      </x:c>
      <x:c r="N29" s="7" t="str">
        <x:v>[]</x:v>
      </x:c>
      <x:c r="O29" s="7" t="str">
        <x:v>[]</x:v>
      </x:c>
      <x:c r="P29" s="7" t="str">
        <x:v>[]</x:v>
      </x:c>
      <x:c r="Q29" s="8" t="str">
        <x:v>no</x:v>
      </x:c>
      <x:c r="R29" s="8" t="str">
        <x:v>yes</x:v>
      </x:c>
      <x:c r="S29" s="8" t="str">
        <x:v>yes</x:v>
      </x:c>
      <x:c r="T29" s="7" t="str">
        <x:v>Reviewed against title, duties, mapped skills and detection sources.</x:v>
      </x:c>
    </x:row>
    <x:row r="30">
      <x:c r="A30" s="5" t="str">
        <x:v>neither</x:v>
      </x:c>
      <x:c r="B30" s="5" t="str">
        <x:v>203SWDJ</x:v>
      </x:c>
      <x:c r="C30" s="7" t="str">
        <x:v>#HRTNice2026 night audit logé (H/F)</x:v>
      </x:c>
      <x:c r="D30" s="7" t="str">
        <x:v>***As part of the Hotel/Restaurant/Tourism forum on March 5, 2026 from 9 a.m. to 1 p.m. at the Port of Nice OcéaNice Congress Center *** As part of the Pure Montagne Resort &amp; SPA team, a 4-star hotel establishment, you will be responsible for: - welcoming customers with professionalism - carrying out check-ins and check-outs - managing collections and reservations - checking and closing the cash register - responding to calls and customer requests Qualities main points: - Ease of speech and courteous language - Dynamism &amp; responsiveness - Excellent presentation - Sense of detail and teamwork Taking position mid-March, housed in shared accommodation</x:v>
      </x:c>
      <x:c r="E30" s="5" t="str">
        <x:v>27253.92</x:v>
      </x:c>
      <x:c r="F30" s="5" t="str">
        <x:v>6e6e44ba-d9f0-403b-93d4-a8d4bd67787a</x:v>
      </x:c>
      <x:c r="G30" s="7" t="str">
        <x:v>["process reservations"]</x:v>
      </x:c>
      <x:c r="H30" s="7" t="str">
        <x:v>[]</x:v>
      </x:c>
      <x:c r="I30" s="7" t="str">
        <x:v>[]</x:v>
      </x:c>
      <x:c r="J30" s="7" t="str">
        <x:v>[]</x:v>
      </x:c>
      <x:c r="K30" s="7" t="str">
        <x:v>[]</x:v>
      </x:c>
      <x:c r="L30" s="7" t="str">
        <x:v>[]</x:v>
      </x:c>
      <x:c r="M30" s="7" t="str">
        <x:v>[]</x:v>
      </x:c>
      <x:c r="N30" s="7" t="str">
        <x:v>[]</x:v>
      </x:c>
      <x:c r="O30" s="7" t="str">
        <x:v>[]</x:v>
      </x:c>
      <x:c r="P30" s="7" t="str">
        <x:v>[]</x:v>
      </x:c>
      <x:c r="Q30" s="8" t="str">
        <x:v>no</x:v>
      </x:c>
      <x:c r="R30" s="8" t="str">
        <x:v>yes</x:v>
      </x:c>
      <x:c r="S30" s="8" t="str">
        <x:v>yes</x:v>
      </x:c>
      <x:c r="T30" s="7" t="str">
        <x:v>Reviewed against title, duties, mapped skills and detection sources.</x:v>
      </x:c>
    </x:row>
    <x:row r="31">
      <x:c r="A31" s="5" t="str">
        <x:v>neither</x:v>
      </x:c>
      <x:c r="B31" s="5" t="str">
        <x:v>196RLQN</x:v>
      </x:c>
      <x:c r="C31" s="7" t="str">
        <x:v>Digital Control Operator -CN- (M/F)</x:v>
      </x:c>
      <x:c r="D31" s="7" t="str">
        <x:v>PB Solutions is looking for a CNC operator M/F for its client, an aeronautics manufacturer based in Blanc (36) Main mission Carry out machining operations on composite aerostructure parts, using numerically controlled machining centers, using existing programs from the internal library. Primary Responsibilities: Preparation Install and prepare composite parts after demolding. Assemble and adjust the necessary tools, clamps and cutting tools. Load and launch the NC programs available in the library. Machining &amp; trimming Carry out the trimming of the composite parts in accordance with the instructions. Monitor the progress of machining cycles and adjust if necessary (minor corrections, speeds, tools). Check the conformity of parts during and at the end of manufacturing (dimensional and visual self-check). Quality &amp; safety Respect aeronautical quality procedures (traceability, cleanliness, compliance). Detect and report any anomalies (tool wear, material defects, non-compliance). Rigorously apply safety and hygiene rules. Continuous improvement Propose optimization ideas concerning settings, tools or ergonomics of workstations. Participate in first-level maintenance of NC machines (cleaning, routine checks). Profile sought: Training: CAP/BEP, Bac Pro Mechanical Production / Machining / Aeronautics or equivalent. Experience: Beginner accepted if motivated (internal training guaranteed), experience in machining or composites is an asset.</x:v>
      </x:c>
      <x:c r="E31" s="5" t="str">
        <x:v>26000.0</x:v>
      </x:c>
      <x:c r="F31" s="5" t="str">
        <x:v>5c082067-ea18-4ccb-8c43-e70b18ad8120</x:v>
      </x:c>
      <x:c r="G31" s="7" t="str">
        <x:v>["assemble electrical components", "ergonomics", "hygiene in a health care setting", "maintain personal hygiene standards", "manufacturing of tools", "practice dance moves"]</x:v>
      </x:c>
      <x:c r="H31" s="7" t="str">
        <x:v>[]</x:v>
      </x:c>
      <x:c r="I31" s="7" t="str">
        <x:v>[]</x:v>
      </x:c>
      <x:c r="J31" s="7" t="str">
        <x:v>[]</x:v>
      </x:c>
      <x:c r="K31" s="7" t="str">
        <x:v>[]</x:v>
      </x:c>
      <x:c r="L31" s="7" t="str">
        <x:v>[]</x:v>
      </x:c>
      <x:c r="M31" s="7" t="str">
        <x:v>[]</x:v>
      </x:c>
      <x:c r="N31" s="7" t="str">
        <x:v>[]</x:v>
      </x:c>
      <x:c r="O31" s="7" t="str">
        <x:v>[]</x:v>
      </x:c>
      <x:c r="P31" s="7" t="str">
        <x:v>[]</x:v>
      </x:c>
      <x:c r="Q31" s="8" t="str">
        <x:v>no</x:v>
      </x:c>
      <x:c r="R31" s="8" t="str">
        <x:v>yes</x:v>
      </x:c>
      <x:c r="S31" s="8" t="str">
        <x:v>yes</x:v>
      </x:c>
      <x:c r="T31" s="7" t="str">
        <x:v>Reviewed against title, duties, mapped skills and detection sources.</x:v>
      </x:c>
    </x:row>
    <x:row r="32">
      <x:c r="A32" s="5" t="str">
        <x:v>neither</x:v>
      </x:c>
      <x:c r="B32" s="5" t="str">
        <x:v>202DVLF</x:v>
      </x:c>
      <x:c r="C32" s="7" t="str">
        <x:v>Equiper Polyvalent 35H (H/F)</x:v>
      </x:c>
      <x:c r="D32" s="7" t="str">
        <x:v>INTRODUCTION Working at Lidl is much more than a job! This allows our customers to have the best possible experience in our supermarkets! By joining our team, you join a growing company where you can put your versatility and responsiveness to good use through different missions that punctuate your days. You are part of a dynamic team, whose main mission is to ensure the smooth running of the supermarket. The position requires being available on Saturdays and some Sundays. MISSIONS As a Versatile Team Member on a 35-hour permanent contract, you contribute to a satisfactory purchasing experience for our customers. In order to achieve this common objective, you join a team that supports you in your daily missions: * Ensure the shelves are well stocked, * Guarantee the reliable collection of products, * Guarantee the quality and freshness of the products, * Participate in the production of hot spot products (breads, pastries, snacks), * Maintain the supermarket and guarantee the best welcome for our customers, * Greet customers and respond to their requests, * Apply the daily Lidl business concept. PROFILE Whether you already have professional experience or are starting out in working life, above all we are looking for a personality. * Do you like working in a team to progress together? * Are you organized and know how to prioritize your actions? * Do you have good interpersonal skills and enjoy customer contact? * Do you have a taste for challenge and performance? If you answered yes to these questions, then don't hesitate to join #TeamLidl. JOIN LIDL We recognize everyone's work and investment by offering you: * A permanent position with 35 hours of weekly work, employee status, * Scalable remuneration with a gross monthly salary of €1,932 upon hiring, €2,000 after 1 year and €2,069 after 2 years, * A salary paid over 13 months, * A seniority bonus after 3 years and beyond, * A participation and/or profit-sharing bonus (depending on the company's results), * Valuation of working time because at Lidl, every minute worked is paid, * A better work/private life balance with communication of schedules 4 weeks in advance, * A 10% reduction card on Lidl products after 6 months of seniority, * A co-optation program with bonuses, * An integration course with personalized training on your profession, * A career with possibilities for advancement to the positions of Reception Cashier Coordinator, Assistant Manager, Supermarket Director or other positions in Regional Management. Joining Lidl also means joining a company certified TOP Employer since 2019! This Label rewards our HR policy, our commitments in terms of gender equality, diversity &amp; inclusion, but also the work of our teams in the field on a daily basis. All our positions are open to people with disabilities. Depending on the specific needs of each person, a material and/or organizational arrangement of the workstation will be studied.</x:v>
      </x:c>
      <x:c r="E32" s="5" t="str">
        <x:v>23184.0</x:v>
      </x:c>
      <x:c r="F32" s="5" t="str">
        <x:v>d35f9e79-5778-43b4-8667-0e3ba1fcb19a</x:v>
      </x:c>
      <x:c r="G32" s="7" t="str">
        <x:v>["greet guests", "promote inclusion", "respond to enquiries", "support employability of people with disabilities"]</x:v>
      </x:c>
      <x:c r="H32" s="7" t="str">
        <x:v>[]</x:v>
      </x:c>
      <x:c r="I32" s="7" t="str">
        <x:v>[]</x:v>
      </x:c>
      <x:c r="J32" s="7" t="str">
        <x:v>[]</x:v>
      </x:c>
      <x:c r="K32" s="7" t="str">
        <x:v>[]</x:v>
      </x:c>
      <x:c r="L32" s="7" t="str">
        <x:v>[]</x:v>
      </x:c>
      <x:c r="M32" s="7" t="str">
        <x:v>[]</x:v>
      </x:c>
      <x:c r="N32" s="7" t="str">
        <x:v>[]</x:v>
      </x:c>
      <x:c r="O32" s="7" t="str">
        <x:v>[]</x:v>
      </x:c>
      <x:c r="P32" s="7" t="str">
        <x:v>[]</x:v>
      </x:c>
      <x:c r="Q32" s="8" t="str">
        <x:v>no</x:v>
      </x:c>
      <x:c r="R32" s="8" t="str">
        <x:v>yes</x:v>
      </x:c>
      <x:c r="S32" s="8" t="str">
        <x:v>yes</x:v>
      </x:c>
      <x:c r="T32" s="7" t="str">
        <x:v>Reviewed against title, duties, mapped skills and detection sources.</x:v>
      </x:c>
    </x:row>
    <x:row r="33">
      <x:c r="A33" s="5" t="str">
        <x:v>neither</x:v>
      </x:c>
      <x:c r="B33" s="5" t="str">
        <x:v>a8cbbd72-5113-477c-878c-e1276338627c</x:v>
      </x:c>
      <x:c r="C33" s="7" t="str">
        <x:v>Reception Assistant &amp; Accountant F/M - Siléane Saint-Etienne</x:v>
      </x:c>
      <x:c r="D33" s="7" t="str">
        <x:v>Under the responsibility of the Management Control Manager, you will evolve within the Finance department. Your main missions &amp; activities will be: - Ensure the physical and telephone reception of visitors: - - Welcome, inform and guide visitors. - Answer calls, take messages and transfer communications. - Maintain and update visitor records. - Manage internal requests: - - Organize travel and reservations (transport, accommodation, etc.) - Manage incoming and outgoing mail (Sorting, postage, distribution) - Ensure the functional management of customer visits and ensure the quality of reception (Preparation of rooms, etc.) - Participate in accounting missions: - - Enter supplier invoices. - Ensure the classification and archiving of accounting documents. - Participate in the preparation of accounting elements. Your rigor, discretion and excellent interpersonal skills as well as good organizational skills are assets that will allow you to fully flourish in this position. Basic knowledge of accounting would be a plus. Knowledge of English is essential. Practical side - Fixed remuneration based on 35 hours supplemented by: - ​​- Value Sharing Bonus (Ex Macron bonus) - Profit-sharing/Participation - Half 13th month - Holiday bonus (conventional bonus) - CSE holiday vouchers - Mutual insurance 80% covered by the employer - Restaurant vouchers Join us!</x:v>
      </x:c>
      <x:c r="E33" s="5" t="str">
        <x:v>23500.0</x:v>
      </x:c>
      <x:c r="F33" s="5" t="str">
        <x:v>044d78cc-f62f-4532-83a5-8e04f2889652</x:v>
      </x:c>
      <x:c r="G33" s="7" t="str">
        <x:v>["English", "accounting", "accounting techniques", "arrange student accommodation", "supervise special visitors"]</x:v>
      </x:c>
      <x:c r="H33" s="7" t="str">
        <x:v>[]</x:v>
      </x:c>
      <x:c r="I33" s="7" t="str">
        <x:v>[]</x:v>
      </x:c>
      <x:c r="J33" s="7" t="str">
        <x:v>[]</x:v>
      </x:c>
      <x:c r="K33" s="7" t="str">
        <x:v>[]</x:v>
      </x:c>
      <x:c r="L33" s="7" t="str">
        <x:v>[]</x:v>
      </x:c>
      <x:c r="M33" s="7" t="str">
        <x:v>[]</x:v>
      </x:c>
      <x:c r="N33" s="7" t="str">
        <x:v>[]</x:v>
      </x:c>
      <x:c r="O33" s="7" t="str">
        <x:v>[]</x:v>
      </x:c>
      <x:c r="P33" s="7" t="str">
        <x:v>[]</x:v>
      </x:c>
      <x:c r="Q33" s="8" t="str">
        <x:v>no</x:v>
      </x:c>
      <x:c r="R33" s="8" t="str">
        <x:v>yes</x:v>
      </x:c>
      <x:c r="S33" s="8" t="str">
        <x:v>yes</x:v>
      </x:c>
      <x:c r="T33" s="7" t="str">
        <x:v>Reviewed against title, duties, mapped skills and detection sources.</x:v>
      </x:c>
    </x:row>
    <x:row r="34">
      <x:c r="A34" s="5" t="str">
        <x:v>neither</x:v>
      </x:c>
      <x:c r="B34" s="5" t="str">
        <x:v>204LJTH</x:v>
      </x:c>
      <x:c r="C34" s="7" t="str">
        <x:v>Fresh cutting employee (M/F)</x:v>
      </x:c>
      <x:c r="D34" s="7" t="str">
        <x:v>About us: Do you like working in the restaurant industry, but you're not fond of the hours it involves? Do you like working close to your customers and you like to offer them always more freshness? So come work at VERTUGROUP! VERTUGROUP has developed a concept of fruit and vegetable cutting kiosks directly in hypermarkets under its two brands: VERTUFOOD and LA FRAICHERIE. We have more than 60 kiosks across France and have more than 230 employees. Missions: We are recruiting a fresh cut employee M/F. You will join a laboratory in a team of 2 people and you will be responsible for cutting, packaging and arranging the sales area. After appropriate training, your missions will be as follows: - Cut fruits and vegetables in compliance with hygiene rules. - Ensure packaging in accordance with recipes and the display of these preparations. - Highlight the benefits of the preparations in order to boost sales. This description takes into account the main responsibilities and missions; it is not restrictive Advantages: Continuous hours, Increased overtime, Attractive mutual insurance, 50% Transport cost contribution, Quarterly bonuses based on objectives PROFILE: - Training / Experience: Ideally you have a first experience in catering and/or have been trained in HACCP - Main qualities: We are looking for a person who enjoys the field, contact with customers and teamwork, and who has a sense of service. With a strong “commercial spirit”, you are a real salesman and you are capable of increasing turnover. - Other: VERTUGROUP is a young startup which continues to develop rapidly, so there are many prospects for development.</x:v>
      </x:c>
      <x:c r="E34" s="5" t="str">
        <x:v>21876.84</x:v>
      </x:c>
      <x:c r="F34" s="5" t="str">
        <x:v>96a0d8d3-d4a6-473d-80d6-b5dbadde940a</x:v>
      </x:c>
      <x:c r="G34" s="7" t="str">
        <x:v>["contact customers", "cut textiles", "ensure appropriate packaging of dangerous goods", "facilitate compositional structures in dance", "packaging functions"]</x:v>
      </x:c>
      <x:c r="H34" s="7" t="str">
        <x:v>[]</x:v>
      </x:c>
      <x:c r="I34" s="7" t="str">
        <x:v>[]</x:v>
      </x:c>
      <x:c r="J34" s="7" t="str">
        <x:v>[]</x:v>
      </x:c>
      <x:c r="K34" s="7" t="str">
        <x:v>[]</x:v>
      </x:c>
      <x:c r="L34" s="7" t="str">
        <x:v>[]</x:v>
      </x:c>
      <x:c r="M34" s="7" t="str">
        <x:v>[]</x:v>
      </x:c>
      <x:c r="N34" s="7" t="str">
        <x:v>[]</x:v>
      </x:c>
      <x:c r="O34" s="7" t="str">
        <x:v>[]</x:v>
      </x:c>
      <x:c r="P34" s="7" t="str">
        <x:v>[]</x:v>
      </x:c>
      <x:c r="Q34" s="8" t="str">
        <x:v>no</x:v>
      </x:c>
      <x:c r="R34" s="8" t="str">
        <x:v>yes</x:v>
      </x:c>
      <x:c r="S34" s="8" t="str">
        <x:v>yes</x:v>
      </x:c>
      <x:c r="T34" s="7" t="str">
        <x:v>Reviewed against title, duties, mapped skills and detection sources.</x:v>
      </x:c>
    </x:row>
    <x:row r="35">
      <x:c r="A35" s="5" t="str">
        <x:v>neither</x:v>
      </x:c>
      <x:c r="B35" s="5" t="str">
        <x:v>28389293</x:v>
      </x:c>
      <x:c r="C35" s="7" t="str">
        <x:v>Confirmed LMNP accounting associate M/F</x:v>
      </x:c>
      <x:c r="D35" s="7" t="str">
        <x:v>Our client is an accounting firm which attaches great importance to supporting its clients while offering a pleasant working environment and tailor-made career prospects. He is seeking to integrate a confirmed LMNP Accounting Associate (F/M) based in Villeurbanne (69) (metro accessible). Job description: You will actively contribute to the tax support of client-owners. In this capacity, you will be in charge of: - Reviewing the accounting of an assigned portfolio, - Preparing tax packages in compliance with accounting and tax rules specific to furnished rentals; - Customer relations for technical aspects and finalization of files; - Participation in periodic controls of the bundles produced. Coming from an Accounting background, you have successful experience which allows you to be autonomous in the management of an entire LMNP portfolio. You are recognized for your team spirit, your rigor and your ability to adapt. Advantages: 4.5 day week, Teleworking, bonuses, TR, profit-sharing/participation, CSE, ... The confidentiality of your application is assured.</x:v>
      </x:c>
      <x:c r="E35" s="5" t="str">
        <x:v>32500.0</x:v>
      </x:c>
      <x:c r="F35" s="5" t="str">
        <x:v>1ad59946-d13e-441e-9b36-56e1df055e21</x:v>
      </x:c>
      <x:c r="G35" s="7" t="str">
        <x:v>["accounting", "ensure compliance with accounting conventions"]</x:v>
      </x:c>
      <x:c r="H35" s="7" t="str">
        <x:v>[]</x:v>
      </x:c>
      <x:c r="I35" s="7" t="str">
        <x:v>[]</x:v>
      </x:c>
      <x:c r="J35" s="7" t="str">
        <x:v>[]</x:v>
      </x:c>
      <x:c r="K35" s="7" t="str">
        <x:v>[]</x:v>
      </x:c>
      <x:c r="L35" s="7" t="str">
        <x:v>[]</x:v>
      </x:c>
      <x:c r="M35" s="7" t="str">
        <x:v>[]</x:v>
      </x:c>
      <x:c r="N35" s="7" t="str">
        <x:v>[]</x:v>
      </x:c>
      <x:c r="O35" s="7" t="str">
        <x:v>[]</x:v>
      </x:c>
      <x:c r="P35" s="7" t="str">
        <x:v>[]</x:v>
      </x:c>
      <x:c r="Q35" s="8" t="str">
        <x:v>no</x:v>
      </x:c>
      <x:c r="R35" s="8" t="str">
        <x:v>yes</x:v>
      </x:c>
      <x:c r="S35" s="8" t="str">
        <x:v>yes</x:v>
      </x:c>
      <x:c r="T35" s="7" t="str">
        <x:v>Reviewed against title, duties, mapped skills and detection sources.</x:v>
      </x:c>
    </x:row>
    <x:row r="36">
      <x:c r="A36" s="5" t="str">
        <x:v>neither</x:v>
      </x:c>
      <x:c r="B36" s="5" t="str">
        <x:v>AI1-01767</x:v>
      </x:c>
      <x:c r="C36" s="7" t="str">
        <x:v>Shipping Agent M/F</x:v>
      </x:c>
      <x:c r="D36" s="7" t="str">
        <x:v>Description: You don't see yourself in the ads offered to you? Are you looking for a position that matches your skills? The Piment Group stands out for its originality and expertise in order to bring a new perspective to the recruitment market. Our promises are availability, perseverance and responsiveness for both our clients and our candidates. Are you dynamic, rigorous, and autonomous? This position is made for you! We are looking for a M/F Shipping Agent for one of our partners. Your main missions: Preparation of pallets of blanks for intermediate machining Carry out the unloading of the trays from the carbonization ovens. Build and organize pallets in accordance with machine shop requirements. Participation in shipping operations for machined partsProvide support to the teams in charge of shipments to the destination site. Contribute to the packaging, control and documentary preparation necessary for shipments. Carrying out various handling work in the workshop Supplying machining machines with blanks. Empty dumpsters and other containers. Participate in the various handling tasks related to the proper functioning of the workshop. Expected Profile: Holder of CACES R485 and CACES R489 certifications, essential for the position. Ideally trained to operate overhead cranes (bridge operator training). Rigorous, serious person who respects safety instructions. Ability to work in a team and manage varied handling operations. Further information: Day shift</x:v>
      </x:c>
      <x:c r="E36" s="5" t="str">
        <x:v>24600.0</x:v>
      </x:c>
      <x:c r="F36" s="5" t="str">
        <x:v>808becc8-5a4e-4e71-a043-c2ea32b56ae3</x:v>
      </x:c>
      <x:c r="G36" s="7" t="str">
        <x:v>["monitor developments in field of expertise", "recruit employees"]</x:v>
      </x:c>
      <x:c r="H36" s="7" t="str">
        <x:v>[]</x:v>
      </x:c>
      <x:c r="I36" s="7" t="str">
        <x:v>[]</x:v>
      </x:c>
      <x:c r="J36" s="7" t="str">
        <x:v>[]</x:v>
      </x:c>
      <x:c r="K36" s="7" t="str">
        <x:v>[]</x:v>
      </x:c>
      <x:c r="L36" s="7" t="str">
        <x:v>[]</x:v>
      </x:c>
      <x:c r="M36" s="7" t="str">
        <x:v>[]</x:v>
      </x:c>
      <x:c r="N36" s="7" t="str">
        <x:v>[]</x:v>
      </x:c>
      <x:c r="O36" s="7" t="str">
        <x:v>[]</x:v>
      </x:c>
      <x:c r="P36" s="7" t="str">
        <x:v>[]</x:v>
      </x:c>
      <x:c r="Q36" s="8" t="str">
        <x:v>no</x:v>
      </x:c>
      <x:c r="R36" s="8" t="str">
        <x:v>yes</x:v>
      </x:c>
      <x:c r="S36" s="8" t="str">
        <x:v>yes</x:v>
      </x:c>
      <x:c r="T36" s="7" t="str">
        <x:v>Reviewed against title, duties, mapped skills and detection sources.</x:v>
      </x:c>
    </x:row>
    <x:row r="37">
      <x:c r="A37" s="5" t="str">
        <x:v>neither</x:v>
      </x:c>
      <x:c r="B37" s="5" t="str">
        <x:v>28371912</x:v>
      </x:c>
      <x:c r="C37" s="7" t="str">
        <x:v>Pont-Audemer - PAYROLL MANAGER (M/F)</x:v>
      </x:c>
      <x:c r="D37" s="7" t="str">
        <x:v>Want to take on a new professional challenge? We are recruiting! MOMENTI, a recruitment and headhunting firm, is now supporting an accounting and auditing firm in the recruitment of a permanent Payroll Manager. Our customer? A dynamic firm, anchored in values ​​of progression and proximity. The atmosphere is friendly, the missions varied and the perspectives real! The position is located in Pont-Audemer. What you will do on a daily basis: - Establish pay slips in compliance with social and contractual legislation - Manage monthly, quarterly and annual social declarations - Ensure administrative monitoring of employees: contracts, absences, leave, certificates - Advise clients on current social issues - Ensure that payroll software settings are updated What we are looking for: - Bac+2 to Bac+3 training in payroll management, HR or accounting - A first successful experience in firm, work-study programs and internships included - Rigor, discretion, sense of customer service and autonomy - Good command of IT tools, in particular Excel and payroll software What the firm offers you: - A permanent contract - Remuneration of between 26,000 and 36,000 EUR gross per year, depending on your profile and experience - Concrete advantages: bonuses, restaurant vouchers, teleworking, flexible hours, etc. - A fulfilling, dynamic professional environment attentive to your life balance !Are you interested in this offer? Don't wait any longer to apply! Our team studies each application carefully. If your profile matches our client's expectations, we will contact you quickly. If there is no response within 3 days, this means that your profile does not meet our client's expectations this time.</x:v>
      </x:c>
      <x:c r="E37" s="5" t="str">
        <x:v>32500.0</x:v>
      </x:c>
      <x:c r="F37" s="5" t="str">
        <x:v>eda0d957-3c3c-4139-b89a-a18bc9e18897</x:v>
      </x:c>
      <x:c r="G37" s="7" t="str">
        <x:v>["accounting techniques", "recruit personnel"]</x:v>
      </x:c>
      <x:c r="H37" s="7" t="str">
        <x:v>[]</x:v>
      </x:c>
      <x:c r="I37" s="7" t="str">
        <x:v>[]</x:v>
      </x:c>
      <x:c r="J37" s="7" t="str">
        <x:v>[]</x:v>
      </x:c>
      <x:c r="K37" s="7" t="str">
        <x:v>[]</x:v>
      </x:c>
      <x:c r="L37" s="7" t="str">
        <x:v>[]</x:v>
      </x:c>
      <x:c r="M37" s="7" t="str">
        <x:v>[]</x:v>
      </x:c>
      <x:c r="N37" s="7" t="str">
        <x:v>[]</x:v>
      </x:c>
      <x:c r="O37" s="7" t="str">
        <x:v>[]</x:v>
      </x:c>
      <x:c r="P37" s="7" t="str">
        <x:v>[]</x:v>
      </x:c>
      <x:c r="Q37" s="8" t="str">
        <x:v>no</x:v>
      </x:c>
      <x:c r="R37" s="8" t="str">
        <x:v>yes</x:v>
      </x:c>
      <x:c r="S37" s="8" t="str">
        <x:v>yes</x:v>
      </x:c>
      <x:c r="T37" s="7" t="str">
        <x:v>Reviewed against title, duties, mapped skills and detection sources.</x:v>
      </x:c>
    </x:row>
    <x:row r="38">
      <x:c r="A38" s="5" t="str">
        <x:v>neither</x:v>
      </x:c>
      <x:c r="B38" s="5" t="str">
        <x:v>kyvu6brc2z</x:v>
      </x:c>
      <x:c r="C38" s="7" t="str">
        <x:v>Supplier Expeditor M/F</x:v>
      </x:c>
      <x:c r="D38" s="7" t="str">
        <x:v>RESPONSIBILITIES: As a Procurement Expeditor M/F, your missions will be as follows: Analysis and Planning of Requirements • Translate the PDP into precise procurement needs (quantities, dates). • Optimize safety stocks, reorder points and lot sizes. • Anticipate risks of shortage or overstock and propose corrective actions. Supplier Order Management • Place and track orders, manage reminders and acknowledgments of receipt. • Plan deliveries and collections with logistics. • Expediting: accelerate orders in the event of risk and manage critical incidents. Operational Supplier Relations • Monitor and evaluate supplier performance (OTD, KPIs). • Manage disputes and non-compliance. • Participate in continuous improvement and optimize costs (consolidation, transport). Process Control and Improvement • Maintain the reliability of ERP data (deadlines, prices, references). • Produce dashboards and propose optimizations. • Participate in warehouse inventories. Contract: Temporary (from 01/05/2026 to 06/30/2026) Remuneration: from 31k gross annual PROFILE WANTED: We are looking for an Expeditor Supplier M/F, holder of a Bac + 3 to Bac + 5 in logistics/Supply Chain / Purchasing with 5 to 7 years of experience in a similar function in an industrial environment. You have: • Professional English: Fluent, oral and written, for daily exchanges with international suppliers. • Mastery of ERP tools. • Procurement Techniques: Excellent knowledge of requirements calculation methods (MRP), inventory management (Min/Max, reorder point, safety stock). • Logistics and Transport: Understanding of Incoterms, international transport constraints, export control. You are rigorous, organized and motivated, versatile and comfortable in a team, ready to take on stimulating challenges! Do you recognize yourself in this ad? Apply now! :)</x:v>
      </x:c>
      <x:c r="E38" s="5" t="str">
        <x:v>33000.0</x:v>
      </x:c>
      <x:c r="F38" s="5" t="str">
        <x:v>dbdc9f7b-31c6-4f21-a9c5-48253bb69c08</x:v>
      </x:c>
      <x:c r="G38" s="7" t="str">
        <x:v>["assess procurement needs", "continuous improvement philosophies", "manage contract disputes", "monitor processing conditions", "supplier management"]</x:v>
      </x:c>
      <x:c r="H38" s="7" t="str">
        <x:v>[]</x:v>
      </x:c>
      <x:c r="I38" s="7" t="str">
        <x:v>[]</x:v>
      </x:c>
      <x:c r="J38" s="7" t="str">
        <x:v>[]</x:v>
      </x:c>
      <x:c r="K38" s="7" t="str">
        <x:v>[]</x:v>
      </x:c>
      <x:c r="L38" s="7" t="str">
        <x:v>[]</x:v>
      </x:c>
      <x:c r="M38" s="7" t="str">
        <x:v>[]</x:v>
      </x:c>
      <x:c r="N38" s="7" t="str">
        <x:v>[]</x:v>
      </x:c>
      <x:c r="O38" s="7" t="str">
        <x:v>[]</x:v>
      </x:c>
      <x:c r="P38" s="7" t="str">
        <x:v>[]</x:v>
      </x:c>
      <x:c r="Q38" s="8" t="str">
        <x:v>no</x:v>
      </x:c>
      <x:c r="R38" s="8" t="str">
        <x:v>yes</x:v>
      </x:c>
      <x:c r="S38" s="8" t="str">
        <x:v>yes</x:v>
      </x:c>
      <x:c r="T38" s="7" t="str">
        <x:v>Reviewed against title, duties, mapped skills and detection sources.</x:v>
      </x:c>
    </x:row>
    <x:row r="39">
      <x:c r="A39" s="5" t="str">
        <x:v>neither</x:v>
      </x:c>
      <x:c r="B39" s="5" t="str">
        <x:v>308400</x:v>
      </x:c>
      <x:c r="C39" s="7" t="str">
        <x:v>CONSTRUCTION SUBSCRIBER (F/M) (M/F)</x:v>
      </x:c>
      <x:c r="D39" s="7" t="str">
        <x:v>Within the Construction department of the Business Division, you are responsible for subscribing to the Damage-Structure, Non-Implementer Builder Liability, All Site Risks, Project Owner Liability, Ten-Year Collective Liability Contracts which will be entrusted to you. Your main missions will be: - Know how to participate in discovering the customer's needs through video conferences and/or telephone meetings in partnership with the account manager, - Know how to carry out the technical analysis of files in compliance with the texts in force and subscription rules - Know how to develop offers for private and professional project owners, - Inform customers about the different stages of the file, support and explain the purpose of the actions carried out, - Record contracts and new business in the compliance with our procedures, - Create and maintain quality relationships with both the insurer and the Customer Service Representatives, - Communicate internally all information necessary for good control of the customer account with the Production, Management and Compensation Departments, according to the procedures in force.</x:v>
      </x:c>
      <x:c r="E39" s="5" t="str">
        <x:v>38500.0</x:v>
      </x:c>
      <x:c r="F39" s="5" t="str">
        <x:v>e937449a-d9e0-4ab7-9ea5-4d3ac673be6d</x:v>
      </x:c>
      <x:c r="G39" s="7" t="str">
        <x:v>[]</x:v>
      </x:c>
      <x:c r="H39" s="7" t="str">
        <x:v>[]</x:v>
      </x:c>
      <x:c r="I39" s="7" t="str">
        <x:v>[]</x:v>
      </x:c>
      <x:c r="J39" s="7" t="str">
        <x:v>[]</x:v>
      </x:c>
      <x:c r="K39" s="7" t="str">
        <x:v>[]</x:v>
      </x:c>
      <x:c r="L39" s="7" t="str">
        <x:v>[]</x:v>
      </x:c>
      <x:c r="M39" s="7" t="str">
        <x:v>[]</x:v>
      </x:c>
      <x:c r="N39" s="7" t="str">
        <x:v>[]</x:v>
      </x:c>
      <x:c r="O39" s="7" t="str">
        <x:v>[]</x:v>
      </x:c>
      <x:c r="P39" s="7" t="str">
        <x:v>[]</x:v>
      </x:c>
      <x:c r="Q39" s="8" t="str">
        <x:v>no</x:v>
      </x:c>
      <x:c r="R39" s="8" t="str">
        <x:v>yes</x:v>
      </x:c>
      <x:c r="S39" s="8" t="str">
        <x:v>yes</x:v>
      </x:c>
      <x:c r="T39" s="7" t="str">
        <x:v>Reviewed against title, duties, mapped skills and detection sources.</x:v>
      </x:c>
    </x:row>
    <x:row r="40">
      <x:c r="A40" s="5" t="str">
        <x:v>neither</x:v>
      </x:c>
      <x:c r="B40" s="5" t="str">
        <x:v>Mileade - RAOWDZQUGZPXGAZGTEDVO742</x:v>
      </x:c>
      <x:c r="C40" s="7" t="str">
        <x:v>Miléade - Sports instructor / Sports instructor (M/F)</x:v>
      </x:c>
      <x:c r="D40" s="7" t="str">
        <x:v>You will: • Deploy the brand's standards within day/evening programs • Lead daytime experiences (discoveries, sports, digital) and actively participate in events and evenings (shows, interactive games, etc.) • Ensure compliance with health and safety rules • Participate in Miléade evening events and create links with customers Fixed-term contract – 7 months - 35h00 Date of starting position: 04/03/2026 – End date: 11/13/2026 Remuneration: €1,870 gross + overtime recovered Position fed and housed for €120/month (collective housing) 70% coverage of mutual insurance by Miléade But that's not all!! At Miléade, loyalty is rewarded. If you wish to commit, become a holder: Priority on your position for future seasons Possibility of mobility and career development in our 38 establishments A 13th month, Participation, Additional remuneration after 2 years, Value sharing bonus, 50% reduction on your vacation, Holiday voucher and other CSE benefits Skills and experience Certification or recognized diploma in animation (2A-LA / ALT / BPJEPS) and/or similar experience successful. Chore/sport profile You are: • Inventive and radiant, capable of creating links with clients • Creative and passionate, accustomed to sharing, surprising and working in a team • Versatile and attentive, you know how to adapt services to different types of clientele You want: • To discover new spots, a new region • To be part of a team, to exchange with colleagues from all backgrounds • To be supported, trained and progress towards a unique path • To benefit from the redistribution of profits of the company (no paid shareholders) • To be involved with the teams in the Corporate Social Responsibility of the company</x:v>
      </x:c>
      <x:c r="E40" s="5" t="str">
        <x:v>22440.5</x:v>
      </x:c>
      <x:c r="F40" s="5" t="str">
        <x:v>11695786-9fb7-4895-b161-0480419107e4</x:v>
      </x:c>
      <x:c r="G40" s="7" t="str">
        <x:v>["corporate social responsibility", "ensure compliance with policies", "organise participation in local or international events"]</x:v>
      </x:c>
      <x:c r="H40" s="7" t="str">
        <x:v>[]</x:v>
      </x:c>
      <x:c r="I40" s="7" t="str">
        <x:v>[]</x:v>
      </x:c>
      <x:c r="J40" s="7" t="str">
        <x:v>[]</x:v>
      </x:c>
      <x:c r="K40" s="7" t="str">
        <x:v>[]</x:v>
      </x:c>
      <x:c r="L40" s="7" t="str">
        <x:v>[]</x:v>
      </x:c>
      <x:c r="M40" s="7" t="str">
        <x:v>[]</x:v>
      </x:c>
      <x:c r="N40" s="7" t="str">
        <x:v>[]</x:v>
      </x:c>
      <x:c r="O40" s="7" t="str">
        <x:v>[]</x:v>
      </x:c>
      <x:c r="P40" s="7" t="str">
        <x:v>[]</x:v>
      </x:c>
      <x:c r="Q40" s="8" t="str">
        <x:v>no</x:v>
      </x:c>
      <x:c r="R40" s="8" t="str">
        <x:v>yes</x:v>
      </x:c>
      <x:c r="S40" s="8" t="str">
        <x:v>yes</x:v>
      </x:c>
      <x:c r="T40" s="7" t="str">
        <x:v>Reviewed against title, duties, mapped skills and detection sources.</x:v>
      </x:c>
    </x:row>
    <x:row r="41">
      <x:c r="A41" s="5" t="str">
        <x:v>neither</x:v>
      </x:c>
      <x:c r="B41" s="5" t="str">
        <x:v>3d63e328-a40e-4293-964c-d0742a688299</x:v>
      </x:c>
      <x:c r="C41" s="7" t="str">
        <x:v>Maçon / Scieur / Carotteur F/H - PICTAV' INTERIM</x:v>
      </x:c>
      <x:c r="D41" s="7" t="str">
        <x:v>We are looking for a Mason / Sawyer / Corer (M/F) for one of our clients to work on construction, renovation or rehabilitation sites. You will be in charge of traditional masonry work as well as specific concrete sawing and coring operations, in compliance with safety and quality standards. Main missions: - Carry out masonry work (assembly of walls, formwork, paving, finishes). - Carry out wall or floor sawing work (floor saw, wall saw). - Carry out core drilling in concrete for passage of networks or technical openings. - Install and use specific equipment (coring machine, grinder, thermal saw, etc.). - Secure the intervention area and put in place the necessary protection. - Check the conformity of the works carried out. - Ensure routine maintenance of the equipment used. - Experience in masonry and/or sawing-coring required. - Good command of portable and thermal tools. - Reading plans appreciated. - Rigor, precision and compliance with essential safety instructions. - B license appreciated for travel to construction sites. Proposed conditions: - Contract: CDI. - Location: Construction sites according to assignment. - Remuneration: According to experience + basket and travel bonuses according to construction convention. - Hours: Full time. - Personal protective equipment provided.</x:v>
      </x:c>
      <x:c r="E41" s="5" t="str">
        <x:v>25800.0</x:v>
      </x:c>
      <x:c r="F41" s="5" t="str">
        <x:v>05f321f8-055b-407d-bf19-e0ddabda56b7</x:v>
      </x:c>
      <x:c r="G41" s="7" t="str">
        <x:v>["adhere to health well-being and safety", "ensure equipment maintenance", "personal protective equipment"]</x:v>
      </x:c>
      <x:c r="H41" s="7" t="str">
        <x:v>[]</x:v>
      </x:c>
      <x:c r="I41" s="7" t="str">
        <x:v>[]</x:v>
      </x:c>
      <x:c r="J41" s="7" t="str">
        <x:v>[]</x:v>
      </x:c>
      <x:c r="K41" s="7" t="str">
        <x:v>[]</x:v>
      </x:c>
      <x:c r="L41" s="7" t="str">
        <x:v>[]</x:v>
      </x:c>
      <x:c r="M41" s="7" t="str">
        <x:v>[]</x:v>
      </x:c>
      <x:c r="N41" s="7" t="str">
        <x:v>[]</x:v>
      </x:c>
      <x:c r="O41" s="7" t="str">
        <x:v>[]</x:v>
      </x:c>
      <x:c r="P41" s="7" t="str">
        <x:v>[]</x:v>
      </x:c>
      <x:c r="Q41" s="8" t="str">
        <x:v>no</x:v>
      </x:c>
      <x:c r="R41" s="8" t="str">
        <x:v>yes</x:v>
      </x:c>
      <x:c r="S41" s="8" t="str">
        <x:v>yes</x:v>
      </x:c>
      <x:c r="T41" s="7" t="str">
        <x:v>Reviewed against title, duties, mapped skills and detection sources.</x:v>
      </x:c>
    </x:row>
    <x:row r="42">
      <x:c r="A42" s="5" t="str">
        <x:v>neither</x:v>
      </x:c>
      <x:c r="B42" s="5" t="str">
        <x:v>k0oi8o0gko</x:v>
      </x:c>
      <x:c r="C42" s="7" t="str">
        <x:v>Business advisor (M/F) Agricultural sector</x:v>
      </x:c>
      <x:c r="D42" s="7" t="str">
        <x:v>RESPONSIBILITIES: WHAT ARE YOUR FUTURE MISSIONS? • Listening, you provide regular advice by supporting members in their creation, development or transmission projects. • As part of our service offering, you support farmers with their CAP declaration. • With the aim of development, you ensure the presentation and promotion of consulting services and missions (lawyer, tax specialist, business advisor, etc.) to members. • Apart from your portfolio, you carry out studies in the economic, technical, financial, legal and tax fields. • Collaborative, you work with accountants and specialists in order to offer a broad and coherent overall service. Subsequently, you will have the possibility, depending on the needs of the company and your skills, to develop a specialization in a service or a market (example: business valuation, tax optimization, organic market, equine market, etc.) WANTED PROFILE: THE PROFILE WE ARE LOOKING FOR, IS THIS YOU? You have higher education in agronomy (bachelor's, master's, engineering diploma, etc.) or you have at least 3 years of experience in consulting in an accounting firm, bank or insurance company. Listening, advice, writing and team spirit are recognized qualities. You are ready to invest in our members and support them on a daily basis. You adapt easily to your work environment: you like being in the field or in the office! What if we told you about cultivation techniques, climate, cultivated plants, soil production techniques... Could you tell us more? Join our great Argentan team which rhymes with team spirit, mutual aid &amp; good humor. Take note of your advantages! • Salary over 13 months • Bonus based on objectives • Profit-sharing and participation agreement • 160 restaurant vouchers per year with a face value of €10 covered at 60% • Company mutual insurance covered at 75% • 23 days of RTT/year • 1 day of teleworking possible per week OUR RECRUITMENT PROCESS After receiving your application, we will begin with an initial telephone exchange. A meeting will follow with Dominique, HR Director and Coralie, Consulting Director before a second interview with Sébastien, Agency Director. The masculine is used in the narration of the text to lighten it. We guarantee equal opportunities. The familiarity is also used in storytelling because it is used on a daily basis in our agencies! Bac + 3 or Bac + 5 in the agricultural field or agro/agri engineer</x:v>
      </x:c>
      <x:c r="E42" s="5" t="str">
        <x:v>37500.0</x:v>
      </x:c>
      <x:c r="F42" s="5" t="str">
        <x:v>a14e96a7-6c4d-4d69-8c6f-7ccadf77bac5</x:v>
      </x:c>
      <x:c r="G42" s="7" t="str">
        <x:v>["business valuation techniques", "climatology", "management consulting", "technical terminology"]</x:v>
      </x:c>
      <x:c r="H42" s="7" t="str">
        <x:v>[]</x:v>
      </x:c>
      <x:c r="I42" s="7" t="str">
        <x:v>[]</x:v>
      </x:c>
      <x:c r="J42" s="7" t="str">
        <x:v>[]</x:v>
      </x:c>
      <x:c r="K42" s="7" t="str">
        <x:v>[]</x:v>
      </x:c>
      <x:c r="L42" s="7" t="str">
        <x:v>[]</x:v>
      </x:c>
      <x:c r="M42" s="7" t="str">
        <x:v>[]</x:v>
      </x:c>
      <x:c r="N42" s="7" t="str">
        <x:v>[]</x:v>
      </x:c>
      <x:c r="O42" s="7" t="str">
        <x:v>[]</x:v>
      </x:c>
      <x:c r="P42" s="7" t="str">
        <x:v>[]</x:v>
      </x:c>
      <x:c r="Q42" s="8" t="str">
        <x:v>no</x:v>
      </x:c>
      <x:c r="R42" s="8" t="str">
        <x:v>yes</x:v>
      </x:c>
      <x:c r="S42" s="8" t="str">
        <x:v>yes</x:v>
      </x:c>
      <x:c r="T42" s="7" t="str">
        <x:v>Reviewed against title, duties, mapped skills and detection sources.</x:v>
      </x:c>
    </x:row>
    <x:row r="43">
      <x:c r="A43" s="5" t="str">
        <x:v>neither</x:v>
      </x:c>
      <x:c r="B43" s="5" t="str">
        <x:v>z1431z10n7</x:v>
      </x:c>
      <x:c r="C43" s="7" t="str">
        <x:v>Maintenance Technician M/F</x:v>
      </x:c>
      <x:c r="D43" s="7" t="str">
        <x:v>RESPONSIBILITIES: You ensure the necessary interventions are carried out to enable the proper functioning of the lines by ensuring a good balance between human resources and technical resources. Your missions: • Diagnose breakdowns, • Ensure technical interventions in mechanics, hydraulics, pneumatics and electricity on all installations, • Report on the intervention via the CMMS system, while strictly respecting safety rules and our quality requirements. Special working conditions: 4x8 with a week of rest every 4 weeks Basic salary 28 KE (negotiable depending on profile) + bonuses (night, Sunday, dressing, packed lunches) + Profit-sharing, participation in company profits, 13th month,. Adapted and individualized integration path · Discount on company products · Numerous possibilities for development and promotions within the company ·Possibility of support in your personal procedures (housing, permanence of a social worker) ·Advantageous mutual insurance, welfare ·Reduced price activities, end-of-year gifts Thanks to the company's CSE PROFILE WANTED: Your Profile: Expertise and Team Spirit You hold a BAC+2 in industrial maintenance (or equivalent) and are ready to put your expertise at the service of an ambitious Group. • Your analytical skills and responsiveness allow you to resolve problems quickly. • You like working in a team and sharing your skills. Ready to take on a challenge that matches your talent within a company where people and excellence are the recipe for success? Apply now!</x:v>
      </x:c>
      <x:c r="E43" s="5" t="str">
        <x:v>37500.0</x:v>
      </x:c>
      <x:c r="F43" s="5" t="str">
        <x:v>81a1e1f5-cce3-444d-bfc3-9771236d57cd</x:v>
      </x:c>
      <x:c r="G43" s="7" t="str">
        <x:v>["pneumatics", "pursue excellence in the creation of food products", "quality standards"]</x:v>
      </x:c>
      <x:c r="H43" s="7" t="str">
        <x:v>[]</x:v>
      </x:c>
      <x:c r="I43" s="7" t="str">
        <x:v>[]</x:v>
      </x:c>
      <x:c r="J43" s="7" t="str">
        <x:v>[]</x:v>
      </x:c>
      <x:c r="K43" s="7" t="str">
        <x:v>[]</x:v>
      </x:c>
      <x:c r="L43" s="7" t="str">
        <x:v>[]</x:v>
      </x:c>
      <x:c r="M43" s="7" t="str">
        <x:v>[]</x:v>
      </x:c>
      <x:c r="N43" s="7" t="str">
        <x:v>[]</x:v>
      </x:c>
      <x:c r="O43" s="7" t="str">
        <x:v>[]</x:v>
      </x:c>
      <x:c r="P43" s="7" t="str">
        <x:v>[]</x:v>
      </x:c>
      <x:c r="Q43" s="8" t="str">
        <x:v>no</x:v>
      </x:c>
      <x:c r="R43" s="8" t="str">
        <x:v>yes</x:v>
      </x:c>
      <x:c r="S43" s="8" t="str">
        <x:v>yes</x:v>
      </x:c>
      <x:c r="T43" s="7" t="str">
        <x:v>Reviewed against title, duties, mapped skills and detection sources.</x:v>
      </x:c>
    </x:row>
    <x:row r="44">
      <x:c r="A44" s="5" t="str">
        <x:v>neither</x:v>
      </x:c>
      <x:c r="B44" s="5" t="str">
        <x:v>u95bpkp7yw</x:v>
      </x:c>
      <x:c r="C44" s="7" t="str">
        <x:v>Operations Analyst (M/F)</x:v>
      </x:c>
      <x:c r="D44" s="7" t="str">
        <x:v>RESPONSIBILITIES: Our client, a major player in public health operating in the field of technical and functional services, is actively seeking a: Operations Analyst (M/F) Permanent contract – NICE (06) - FROM 40K Job description: Ready to play an essential role within a dynamic team, working on large-scale technical projects? You actively contribute to the design, preparation and implementation of national applications, as well as production management, working closely with customers and support services. Your main missions consist of: • Integrate and evolve the functionalities to be implemented in a production environment, in compliance with established standards. • Define and execute a technical and functional test plan in an integration environment (recipes) • Analysis of deliverables, scheduler incidents • Support users in their use of solutions and analyze functional needs • MCO of applications and the ecosystem, technical - functional support DESIRED PROFILE: You have excellent interpersonal skills, you demonstrate versatility, great curiosity, you demonstrate a great sense of teamwork, and above all, you aspire to evolve within a dynamic team. Profile sought: With a BAC+ 2/3 training in IT, you ideally have first experience in a similar position with functional integration missions. We accept entry-level candidates. Ideally, you have knowledge of the technical environment: • OS: Unix and/or Linux • Oracle Weblogic • $Universe (scheduler), SQL (BDD) and Shell UNIX (scripting) Benefits and environment of the position: • Teleworking: 2 days / week • Training plan and development of expertise internally • Fixed remuneration over 14 months, annual incentive bonus • RTT: 20 days • Other benefits: restaurant voucher, company mutual insurance, mobility package sustainable, etc. Recruitment process: NEXTGEN RH, a multi-specialist headhunting firm, supports you throughout the recruitment process through a fundamentally human approach: a single contact throughout the process. 1/ Telephone exchange with your recruitment manager 2/ Video interview with your recruitment manager 3/ Interview and technical test on site at our client (plan a trip)</x:v>
      </x:c>
      <x:c r="E44" s="5" t="str">
        <x:v>41500.0</x:v>
      </x:c>
      <x:c r="F44" s="5" t="str">
        <x:v>04ba4d6c-957d-417f-bf63-5b9e015a9f86</x:v>
      </x:c>
      <x:c r="G44" s="7" t="str">
        <x:v>["ecosystem management", "mobility as a service", "operating systems"]</x:v>
      </x:c>
      <x:c r="H44" s="7" t="str">
        <x:v>[]</x:v>
      </x:c>
      <x:c r="I44" s="7" t="str">
        <x:v>[]</x:v>
      </x:c>
      <x:c r="J44" s="7" t="str">
        <x:v>[]</x:v>
      </x:c>
      <x:c r="K44" s="7" t="str">
        <x:v>[]</x:v>
      </x:c>
      <x:c r="L44" s="7" t="str">
        <x:v>["networks_systems"]</x:v>
      </x:c>
      <x:c r="M44" s="7" t="str">
        <x:v>["networks_systems"]</x:v>
      </x:c>
      <x:c r="N44" s="7" t="str">
        <x:v>[]</x:v>
      </x:c>
      <x:c r="O44" s="7" t="str">
        <x:v>["description"]</x:v>
      </x:c>
      <x:c r="P44" s="7" t="str">
        <x:v>[]</x:v>
      </x:c>
      <x:c r="Q44" s="8" t="str">
        <x:v>no</x:v>
      </x:c>
      <x:c r="R44" s="8" t="str">
        <x:v>yes</x:v>
      </x:c>
      <x:c r="S44" s="8" t="str">
        <x:v>yes</x:v>
      </x:c>
      <x:c r="T44" s="7" t="str">
        <x:v>Reviewed against title, duties, mapped skills and detection sources.</x:v>
      </x:c>
    </x:row>
    <x:row r="45">
      <x:c r="A45" s="5" t="str">
        <x:v>neither</x:v>
      </x:c>
      <x:c r="B45" s="5" t="str">
        <x:v>203XCFC</x:v>
      </x:c>
      <x:c r="C45" s="7" t="str">
        <x:v>Adapted sports activity educator (M/F)</x:v>
      </x:c>
      <x:c r="D45" s="7" t="str">
        <x:v>The Les Lauriers Roses Life Home and Medicalized Reception Home, attached to the Les Lauriers Roses EPMS, welcome adults with disabilities. Our mission is to support each resident in their life project, by promoting autonomy, personal development and social inclusion. In this context, we are looking for a full-time Sports Educator / Adapted Physical Activity (APA) Teacher, to strengthen our team, with a strong appetite for supporting people with disabilities and the development of projects promoting physical activity, health and inclusion. Main missions: Design, implement and lead adapted physical and sporting activities, individual or collective, in line with the abilities and needs of residents. Propose actions promoting: - the maintenance or development of motor skills, - physical and psychological well-being, - self-confidence and self-esteem. - Promote and support the inclusion of residents in ordinary environments, by developing partnerships (sports clubs, local associations.) and creating bridges with the outside world. - Adapt sports practices according to the needs, abilities, rhythms and desires of residents. - Regularly evaluate the impact of actions taken and propose adjustments. - Promote the active participation and development of skills of residents in order to create favorable conditions for the realization of their life project. - Participate in service and coordination meetings in order to contribute to collective reflection and the implementation of educational and sporting actions.</x:v>
      </x:c>
      <x:c r="E45" s="5" t="str">
        <x:v>24000.0</x:v>
      </x:c>
      <x:c r="F45" s="5" t="str">
        <x:v>3e9c1262-4fe2-4eb1-bf94-4fe64498393a</x:v>
      </x:c>
      <x:c r="G45" s="7" t="str">
        <x:v>["attend meetings", "create social alliances", "participate actively in civic life", "personal development", "promote exercise programmes", "work for public inclusion"]</x:v>
      </x:c>
      <x:c r="H45" s="7" t="str">
        <x:v>[]</x:v>
      </x:c>
      <x:c r="I45" s="7" t="str">
        <x:v>[]</x:v>
      </x:c>
      <x:c r="J45" s="7" t="str">
        <x:v>[]</x:v>
      </x:c>
      <x:c r="K45" s="7" t="str">
        <x:v>[]</x:v>
      </x:c>
      <x:c r="L45" s="7" t="str">
        <x:v>[]</x:v>
      </x:c>
      <x:c r="M45" s="7" t="str">
        <x:v>[]</x:v>
      </x:c>
      <x:c r="N45" s="7" t="str">
        <x:v>[]</x:v>
      </x:c>
      <x:c r="O45" s="7" t="str">
        <x:v>[]</x:v>
      </x:c>
      <x:c r="P45" s="7" t="str">
        <x:v>[]</x:v>
      </x:c>
      <x:c r="Q45" s="8" t="str">
        <x:v>no</x:v>
      </x:c>
      <x:c r="R45" s="8" t="str">
        <x:v>yes</x:v>
      </x:c>
      <x:c r="S45" s="8" t="str">
        <x:v>yes</x:v>
      </x:c>
      <x:c r="T45" s="7" t="str">
        <x:v>Reviewed against title, duties, mapped skills and detection sources.</x:v>
      </x:c>
    </x:row>
    <x:row r="46">
      <x:c r="A46" s="5" t="str">
        <x:v>neither</x:v>
      </x:c>
      <x:c r="B46" s="5" t="str">
        <x:v>201RXQG</x:v>
      </x:c>
      <x:c r="C46" s="7" t="str">
        <x:v>Manufacturing worker on fixed-term contract Night (M/F)</x:v>
      </x:c>
      <x:c r="D46" s="7" t="str">
        <x:v>You are sensitive to the plant world and particularly appreciate vegetables. You want to join a company concerned with developing responsible and sustainable agriculture, particularly through its Organic ranges Come join us and become a Manufacturing Worker (M/F) Fixed-term contract, to: - Ensure the daily supply of production lines, - Carry out sorting and trimming for the packaging of our ready-to-use salad bags Company based in Saint-Julien-de-Concelles (20 minutes from Nantes). Night shift: 9 p.m. -5 a.m. Cold between 4 and 6°C Activity bonuses, team bonuses, restaurant voucher and 13th month depending on seniority. Come take on a new challenge within a caring team that will help you acquire the skills necessary for this position. If you would like to evolve within this team, positions are available; we will then support you, in order to entrust you with tasks with greater responsibility (flashing of batches in production: traceability, etc.)</x:v>
      </x:c>
      <x:c r="E46" s="5" t="str">
        <x:v>21876.36</x:v>
      </x:c>
      <x:c r="F46" s="5" t="str">
        <x:v>e3dc66de-99c7-4607-a82b-7244036d316d</x:v>
      </x:c>
      <x:c r="G46" s="7" t="str">
        <x:v>["conservation agriculture"]</x:v>
      </x:c>
      <x:c r="H46" s="7" t="str">
        <x:v>[]</x:v>
      </x:c>
      <x:c r="I46" s="7" t="str">
        <x:v>[]</x:v>
      </x:c>
      <x:c r="J46" s="7" t="str">
        <x:v>[]</x:v>
      </x:c>
      <x:c r="K46" s="7" t="str">
        <x:v>[]</x:v>
      </x:c>
      <x:c r="L46" s="7" t="str">
        <x:v>[]</x:v>
      </x:c>
      <x:c r="M46" s="7" t="str">
        <x:v>[]</x:v>
      </x:c>
      <x:c r="N46" s="7" t="str">
        <x:v>[]</x:v>
      </x:c>
      <x:c r="O46" s="7" t="str">
        <x:v>[]</x:v>
      </x:c>
      <x:c r="P46" s="7" t="str">
        <x:v>[]</x:v>
      </x:c>
      <x:c r="Q46" s="8" t="str">
        <x:v>no</x:v>
      </x:c>
      <x:c r="R46" s="8" t="str">
        <x:v>yes</x:v>
      </x:c>
      <x:c r="S46" s="8" t="str">
        <x:v>yes</x:v>
      </x:c>
      <x:c r="T46" s="7" t="str">
        <x:v>Reviewed against title, duties, mapped skills and detection sources.</x:v>
      </x:c>
    </x:row>
    <x:row r="47">
      <x:c r="A47" s="5" t="str">
        <x:v>neither</x:v>
      </x:c>
      <x:c r="B47" s="5" t="str">
        <x:v>201QGJK</x:v>
      </x:c>
      <x:c r="C47" s="7" t="str">
        <x:v>Printer M/F</x:v>
      </x:c>
      <x:c r="D47" s="7" t="str">
        <x:v>As part of the development of its activity, we are looking for a printer M/F for our client, specialized in the printing sector: Within the production workshop, your missions are: - Carrying out printing work according to customer requests - Preventive and curative maintenance of printing equipment - Controlling the quality of prints - Respecting production deadlines - Setting up the printer form (or the digital file on the machine) - Adjusting the printing parameters (timing, inking, pressure cylinders) - Load printing supports and consumables - Start and control printing - Work on high-tech machines to produce food and/or cosmetic packaging Your hours: Work in 2*8: from 7:00 a.m. to 2:00 p.m. or from 2:00 p.m. to 10:00 p.m. - Experience of 1 to 2 years in the field of printing - Holder of a BAC Professional in printing or equivalent - Mastery of offset and digital printing techniques - Knowledge of different printing media and inks - Ability to work in a team and respect instructions - Sense of organization and rigor in the work - Respect of hygiene and safety rules - Respect of deadlines</x:v>
      </x:c>
      <x:c r="E47" s="5" t="str">
        <x:v>22000.0</x:v>
      </x:c>
      <x:c r="F47" s="5" t="str">
        <x:v>ea4aff10-4d20-4a2b-886b-299c2bd349f1</x:v>
      </x:c>
      <x:c r="G47" s="7" t="str">
        <x:v>["maintain personal hygiene standards", "maintenance of printing machines", "printing media"]</x:v>
      </x:c>
      <x:c r="H47" s="7" t="str">
        <x:v>[]</x:v>
      </x:c>
      <x:c r="I47" s="7" t="str">
        <x:v>[]</x:v>
      </x:c>
      <x:c r="J47" s="7" t="str">
        <x:v>[]</x:v>
      </x:c>
      <x:c r="K47" s="7" t="str">
        <x:v>[]</x:v>
      </x:c>
      <x:c r="L47" s="7" t="str">
        <x:v>[]</x:v>
      </x:c>
      <x:c r="M47" s="7" t="str">
        <x:v>[]</x:v>
      </x:c>
      <x:c r="N47" s="7" t="str">
        <x:v>[]</x:v>
      </x:c>
      <x:c r="O47" s="7" t="str">
        <x:v>[]</x:v>
      </x:c>
      <x:c r="P47" s="7" t="str">
        <x:v>[]</x:v>
      </x:c>
      <x:c r="Q47" s="8" t="str">
        <x:v>no</x:v>
      </x:c>
      <x:c r="R47" s="8" t="str">
        <x:v>yes</x:v>
      </x:c>
      <x:c r="S47" s="8" t="str">
        <x:v>yes</x:v>
      </x:c>
      <x:c r="T47" s="7" t="str">
        <x:v>Reviewed against title, duties, mapped skills and detection sources.</x:v>
      </x:c>
    </x:row>
    <x:row r="48">
      <x:c r="A48" s="5" t="str">
        <x:v>neither</x:v>
      </x:c>
      <x:c r="B48" s="5" t="str">
        <x:v>204GJFL</x:v>
      </x:c>
      <x:c r="C48" s="7" t="str">
        <x:v>Social Emergency Coordinator at SIAO 115 (M/F)</x:v>
      </x:c>
      <x:c r="D48" s="7" t="str">
        <x:v>The LAMPOI Social and Medical-Social Cooperation Group manages by delegation of State services, the Integrated Reception and Orientation Service (SIAO), a public State service from the street to housing. In a logic of housing first (LDA) and in connection with public policies linked to housing, it works in the coordination of actors in the territory, ensures social monitoring for the most vulnerable people and builds the SIAO social observatory in the territory. In your role as Social Emergency Coordinator at SIAO and under the authority of the Director, you coordinate the daily management of an emergency platform. As a replacement, you identify and facilitate referrals to systems dedicated to sheltering people on the street and in close collaboration with partners. You direct requests to suitable emergency arrangements and/or stabilization accommodation. You are responsible for the good coordination of the logic of the journey of people from the street to their orientation towards stabilization. You organize and set up reflection and coordination bodies for the territory's partners in terms of social monitoring. You have the ability to analyze emergency and complex situations. You have ease of communication and partnership work. You have the ability to coordinate a team on a small call center that deals with social emergencies. You have the ability to handle complex cases involving people with high vulnerabilities. You have knowledge of the use of the SIAO information system. You have the ability to extract data from the SIAO IS and master IT tools. You participate in the social observatory mission of the SIAO and support discussions around issues related to homelessness and social monitoring.</x:v>
      </x:c>
      <x:c r="E48" s="5" t="str">
        <x:v>27000.0</x:v>
      </x:c>
      <x:c r="F48" s="5" t="str">
        <x:v>a79e7622-2307-44e2-94cc-d1ff1caf655a</x:v>
      </x:c>
      <x:c r="G48" s="7" t="str">
        <x:v>[]</x:v>
      </x:c>
      <x:c r="H48" s="7" t="str">
        <x:v>[]</x:v>
      </x:c>
      <x:c r="I48" s="7" t="str">
        <x:v>[]</x:v>
      </x:c>
      <x:c r="J48" s="7" t="str">
        <x:v>[]</x:v>
      </x:c>
      <x:c r="K48" s="7" t="str">
        <x:v>[]</x:v>
      </x:c>
      <x:c r="L48" s="7" t="str">
        <x:v>[]</x:v>
      </x:c>
      <x:c r="M48" s="7" t="str">
        <x:v>[]</x:v>
      </x:c>
      <x:c r="N48" s="7" t="str">
        <x:v>[]</x:v>
      </x:c>
      <x:c r="O48" s="7" t="str">
        <x:v>[]</x:v>
      </x:c>
      <x:c r="P48" s="7" t="str">
        <x:v>[]</x:v>
      </x:c>
      <x:c r="Q48" s="8" t="str">
        <x:v>no</x:v>
      </x:c>
      <x:c r="R48" s="8" t="str">
        <x:v>yes</x:v>
      </x:c>
      <x:c r="S48" s="8" t="str">
        <x:v>yes</x:v>
      </x:c>
      <x:c r="T48" s="7" t="str">
        <x:v>Reviewed against title, duties, mapped skills and detection sources.</x:v>
      </x:c>
    </x:row>
    <x:row r="49">
      <x:c r="A49" s="5" t="str">
        <x:v>neither</x:v>
      </x:c>
      <x:c r="B49" s="5" t="str">
        <x:v>6mzdg202xz</x:v>
      </x:c>
      <x:c r="C49" s="7" t="str">
        <x:v>Outdoor park forklift driver M/F</x:v>
      </x:c>
      <x:c r="D49" s="7" t="str">
        <x:v>RESPONSIBILITIES: Are you looking for long-term employment in a leading company in its market? Experienced professional in your field, you want to invest in a motivating project and manage your position independently, We are recruiting for a permanent job a Storekeeper M/F holding the CACES R489 category 5 or R389 category 5. Your missions will mainly be: • Loading / unloading • Goods verification • Goods control PROFILE WANTED: You easily handle trolleys and must have significant experience, You will work in independently, ability to carry occasional heavy loads Day schedule</x:v>
      </x:c>
      <x:c r="E49" s="5" t="str">
        <x:v>23000.0</x:v>
      </x:c>
      <x:c r="F49" s="5" t="str">
        <x:v>eeac6251-1974-42f5-91ed-513c6c883755</x:v>
      </x:c>
      <x:c r="G49" s="7" t="str">
        <x:v>[]</x:v>
      </x:c>
      <x:c r="H49" s="7" t="str">
        <x:v>[]</x:v>
      </x:c>
      <x:c r="I49" s="7" t="str">
        <x:v>[]</x:v>
      </x:c>
      <x:c r="J49" s="7" t="str">
        <x:v>[]</x:v>
      </x:c>
      <x:c r="K49" s="7" t="str">
        <x:v>[]</x:v>
      </x:c>
      <x:c r="L49" s="7" t="str">
        <x:v>[]</x:v>
      </x:c>
      <x:c r="M49" s="7" t="str">
        <x:v>[]</x:v>
      </x:c>
      <x:c r="N49" s="7" t="str">
        <x:v>[]</x:v>
      </x:c>
      <x:c r="O49" s="7" t="str">
        <x:v>[]</x:v>
      </x:c>
      <x:c r="P49" s="7" t="str">
        <x:v>[]</x:v>
      </x:c>
      <x:c r="Q49" s="8" t="str">
        <x:v>no</x:v>
      </x:c>
      <x:c r="R49" s="8" t="str">
        <x:v>yes</x:v>
      </x:c>
      <x:c r="S49" s="8" t="str">
        <x:v>yes</x:v>
      </x:c>
      <x:c r="T49" s="7" t="str">
        <x:v>Reviewed against title, duties, mapped skills and detection sources.</x:v>
      </x:c>
    </x:row>
    <x:row r="50">
      <x:c r="A50" s="5" t="str">
        <x:v>neither</x:v>
      </x:c>
      <x:c r="B50" s="5" t="str">
        <x:v>202CRSX</x:v>
      </x:c>
      <x:c r="C50" s="7" t="str">
        <x:v>Analyste Test (H/F)</x:v>
      </x:c>
      <x:c r="D50" s="7" t="str">
        <x:v>The company WIZBII is looking for a Test Analyst M/F on a full-time permanent contract (35 hours/week) for DARVA. Your missions will be: - Actively participate in agile ceremonies - Analyze entrants with the squad (Product backlog, User stories, Functional specifications file) - Write and maintain test repository scenarios and prepare data sets - Execute test campaigns on different browsers (Chrome, Firefox, Safari.) and different OS (Windows, Mac Os, IOS, Android.) - Participate in the creation of Non-Regression Test campaigns - Help the choice of test cases to automate -Constitute and argue the test reports -Ensure the monitoring of anomalies -Maintain the documentation supports. - Participate in the implementation of the testing strategy and apply it - Lead and monitor technical and functional approvals of clients - Support the increase in knowledge of new arrivals Interviews for the position will take place during a private recruitment session in Niort on Tuesday January 27 from 5:30 p.m. during which you will be able to meet the company's recruiters.</x:v>
      </x:c>
      <x:c r="E50" s="5" t="str">
        <x:v>42500.0</x:v>
      </x:c>
      <x:c r="F50" s="5" t="str">
        <x:v>d0aa0792-4345-474b-9365-686cf4869d2e</x:v>
      </x:c>
      <x:c r="G50" s="7" t="str">
        <x:v>["Android (mobile operating systems)", "iOS", "operating systems", "technical terminology", "write specifications"]</x:v>
      </x:c>
      <x:c r="H50" s="7" t="str">
        <x:v>[]</x:v>
      </x:c>
      <x:c r="I50" s="7" t="str">
        <x:v>[]</x:v>
      </x:c>
      <x:c r="J50" s="7" t="str">
        <x:v>[]</x:v>
      </x:c>
      <x:c r="K50" s="7" t="str">
        <x:v>[]</x:v>
      </x:c>
      <x:c r="L50" s="7" t="str">
        <x:v>[]</x:v>
      </x:c>
      <x:c r="M50" s="7" t="str">
        <x:v>[]</x:v>
      </x:c>
      <x:c r="N50" s="7" t="str">
        <x:v>[]</x:v>
      </x:c>
      <x:c r="O50" s="7" t="str">
        <x:v>[]</x:v>
      </x:c>
      <x:c r="P50" s="7" t="str">
        <x:v>[]</x:v>
      </x:c>
      <x:c r="Q50" s="8" t="str">
        <x:v>yes</x:v>
      </x:c>
      <x:c r="R50" s="8" t="str">
        <x:v>no</x:v>
      </x:c>
      <x:c r="S50" s="8" t="str">
        <x:v>yes</x:v>
      </x:c>
      <x:c r="T50" s="7" t="str">
        <x:v>False negative: ουσιαστικός ρόλος software testing/QA· προτείνεται software.</x:v>
      </x:c>
    </x:row>
    <x:row r="51">
      <x:c r="A51" s="5" t="str">
        <x:v>neither</x:v>
      </x:c>
      <x:c r="B51" s="5" t="str">
        <x:v>199QTCN</x:v>
      </x:c>
      <x:c r="C51" s="7" t="str">
        <x:v>Sign Installer M/F (M/F)</x:v>
      </x:c>
      <x:c r="D51" s="7" t="str">
        <x:v>The missions of the position Within our Parisian agency, you carry out the following missions: - Carry out the installation and/or maintenance of signs according to the implementation sheet and the plans provided by the company, - Respect the safety rules specific to the activity (wearing of PPE, etc.) and to the site (marking, etc.) - Coordinate the intervention with the other trades present on the client site, - Carry out detailed surveys (upstream of the phase study), - Carry out the final inspection of the installation, have the intervention minutes signed and transmit the elements necessary for the closure of the site, - Participate in loading and unloading operations of signs, - Carry out the sorting and evacuation of waste at the end of the site. You have significant experience in a similar position, you know how to read technical plans and have electrical clearances, Caces nacelle A/B Autonomous, rigorous, you have a sense of organization and enjoy teamwork We are convinced that our commitment to our employees is essential for the success of our company and we do everything we can to offer them concrete benefits: - Interest &amp; participation: we believe that each employee must be rewarded for their contribution to the growth of our company. This is why we have implemented a profit-sharing and participation system to allow our employees to participate in the company's profits. - Vacation bonus: vacations are essential for the health and well-being of our employees. We offer a vacation bonus to all our employees.</x:v>
      </x:c>
      <x:c r="E51" s="5" t="str">
        <x:v>25020.0</x:v>
      </x:c>
      <x:c r="F51" s="5" t="str">
        <x:v>12da0bb1-26c8-46eb-9476-797f4f1c441e</x:v>
      </x:c>
      <x:c r="G51" s="7" t="str">
        <x:v>["assist in developing practices for well being of employees", "create technical plans", "use personal protection equipment"]</x:v>
      </x:c>
      <x:c r="H51" s="7" t="str">
        <x:v>[]</x:v>
      </x:c>
      <x:c r="I51" s="7" t="str">
        <x:v>[]</x:v>
      </x:c>
      <x:c r="J51" s="7" t="str">
        <x:v>[]</x:v>
      </x:c>
      <x:c r="K51" s="7" t="str">
        <x:v>[]</x:v>
      </x:c>
      <x:c r="L51" s="7" t="str">
        <x:v>[]</x:v>
      </x:c>
      <x:c r="M51" s="7" t="str">
        <x:v>[]</x:v>
      </x:c>
      <x:c r="N51" s="7" t="str">
        <x:v>[]</x:v>
      </x:c>
      <x:c r="O51" s="7" t="str">
        <x:v>[]</x:v>
      </x:c>
      <x:c r="P51" s="7" t="str">
        <x:v>[]</x:v>
      </x:c>
      <x:c r="Q51" s="8" t="str">
        <x:v>no</x:v>
      </x:c>
      <x:c r="R51" s="8" t="str">
        <x:v>yes</x:v>
      </x:c>
      <x:c r="S51" s="8" t="str">
        <x:v>yes</x:v>
      </x:c>
      <x:c r="T51" s="7" t="str">
        <x:v>Reviewed against title, duties, mapped skills and detection sources.</x:v>
      </x:c>
    </x:row>
    <x:row r="52">
      <x:c r="A52" s="5" t="str">
        <x:v>soft_only</x:v>
      </x:c>
      <x:c r="B52" s="5" t="str">
        <x:v>27817010</x:v>
      </x:c>
      <x:c r="C52" s="7" t="str">
        <x:v>Head of Mission (M/F)</x:v>
      </x:c>
      <x:c r="D52" s="7" t="str">
        <x:v>Currently, we are working with an expertise firm of around twenty employees located in Craon (53) which is looking for a Head of Mission M/F to join its team. In collaboration with the Chartered Accountant, you will play a key role in the management of the firm's files. Your missions will include: - Management of a client portfolio made up of SMEs - Preparation of the balance sheet - Review meeting - Supervision and management of a team of collaborators - Exceptional missions if desired (audit, legal, participation in recruitment, etc.) Sensitive to the well-being of its employees, this firm offers attractive advantages, such as flexibility of hours, the possibility of teleworking or even participation in seminars to strengthen group cohesion. On a financial level, the firm offers restaurant vouchers, an incentive bonus, a 13th month, and a mileage allowance. You have completed at least Bac +2 level training with a specialization in accounting, and ideally, you have 2 years of experience in a firm. You are recognized for your rigor, appreciate teamwork, and have excellent interpersonal skills and adaptability, necessary due to the diversity of the firm's clientele. If this position catches your attention, do not hesitate to send us your CV.</x:v>
      </x:c>
      <x:c r="E52" s="5" t="str">
        <x:v>40000.0</x:v>
      </x:c>
      <x:c r="F52" s="5" t="str">
        <x:v>1ad59946-d13e-441e-9b36-56e1df055e21</x:v>
      </x:c>
      <x:c r="G52" s="7" t="str">
        <x:v>["adapt to change"]</x:v>
      </x:c>
      <x:c r="H52" s="7" t="str">
        <x:v>[]</x:v>
      </x:c>
      <x:c r="I52" s="7" t="str">
        <x:v>["adapt to change"]</x:v>
      </x:c>
      <x:c r="J52" s="7" t="str">
        <x:v>[]</x:v>
      </x:c>
      <x:c r="K52" s="7" t="str">
        <x:v>[]</x:v>
      </x:c>
      <x:c r="L52" s="7" t="str">
        <x:v>[]</x:v>
      </x:c>
      <x:c r="M52" s="7" t="str">
        <x:v>[]</x:v>
      </x:c>
      <x:c r="N52" s="7" t="str">
        <x:v>[]</x:v>
      </x:c>
      <x:c r="O52" s="7" t="str">
        <x:v>[]</x:v>
      </x:c>
      <x:c r="P52" s="7" t="str">
        <x:v>["adaptability"]</x:v>
      </x:c>
      <x:c r="Q52" s="8" t="str">
        <x:v>no</x:v>
      </x:c>
      <x:c r="R52" s="8" t="str">
        <x:v>yes</x:v>
      </x:c>
      <x:c r="S52" s="8" t="str">
        <x:v>yes</x:v>
      </x:c>
      <x:c r="T52" s="7" t="str">
        <x:v>Reviewed against title, duties, mapped skills and detection sources.</x:v>
      </x:c>
    </x:row>
    <x:row r="53">
      <x:c r="A53" s="5" t="str">
        <x:v>soft_only</x:v>
      </x:c>
      <x:c r="B53" s="5" t="str">
        <x:v>27756191</x:v>
      </x:c>
      <x:c r="C53" s="7" t="str">
        <x:v>Technico commercial (H/F)</x:v>
      </x:c>
      <x:c r="D53" s="7" t="str">
        <x:v>For our client based in the Pays de la Loire region, specializing in the design and manufacture of products intended for the solar protection of buildings (exterior, interior blinds, pergolas, etc.), we are looking for a TECHNICO-COMMERCIAL (M/F) for the SOUTH WEST region. Under the responsibility of the sales director, your main missions will be: - Management of a customer portfolio - Development of the customer portfolio - Propose technical solutions - Carry out commercial proposals - Follow up with customers or prospects following commercial proposals - Ensure technological monitoring. Sector to be filled: departments 16, 17, 19, 24, 33, 40, 47, 64, 65, 87. Fixed salary 12.5 months, bonus based on objectives, vehicle Bac+2 training, you have at least 3 to 5 years of experience in a similar position in secondary work (carpentry, etc.). You master plan reading. Autonomous, rigorous, attentive, you will join a company where the values ​​"involvement, teamwork, and innovation" are the keys to success.</x:v>
      </x:c>
      <x:c r="E53" s="5" t="str">
        <x:v>55000.0</x:v>
      </x:c>
      <x:c r="F53" s="5" t="str">
        <x:v>c956be07-53a3-4b01-b8f8-f0c5a428eaa8</x:v>
      </x:c>
      <x:c r="G53" s="7" t="str">
        <x:v>["innovation processes"]</x:v>
      </x:c>
      <x:c r="H53" s="7" t="str">
        <x:v>[]</x:v>
      </x:c>
      <x:c r="I53" s="7" t="str">
        <x:v>["innovation processes"]</x:v>
      </x:c>
      <x:c r="J53" s="7" t="str">
        <x:v>[]</x:v>
      </x:c>
      <x:c r="K53" s="7" t="str">
        <x:v>[]</x:v>
      </x:c>
      <x:c r="L53" s="7" t="str">
        <x:v>[]</x:v>
      </x:c>
      <x:c r="M53" s="7" t="str">
        <x:v>[]</x:v>
      </x:c>
      <x:c r="N53" s="7" t="str">
        <x:v>[]</x:v>
      </x:c>
      <x:c r="O53" s="7" t="str">
        <x:v>[]</x:v>
      </x:c>
      <x:c r="P53" s="7" t="str">
        <x:v>["creativity"]</x:v>
      </x:c>
      <x:c r="Q53" s="8" t="str">
        <x:v>no</x:v>
      </x:c>
      <x:c r="R53" s="8" t="str">
        <x:v>yes</x:v>
      </x:c>
      <x:c r="S53" s="8" t="str">
        <x:v>yes</x:v>
      </x:c>
      <x:c r="T53" s="7" t="str">
        <x:v>Reviewed against title, duties, mapped skills and detection sources.</x:v>
      </x:c>
    </x:row>
    <x:row r="54">
      <x:c r="A54" s="5" t="str">
        <x:v>soft_only</x:v>
      </x:c>
      <x:c r="B54" s="5" t="str">
        <x:v>27784633</x:v>
      </x:c>
      <x:c r="C54" s="7" t="str">
        <x:v>Interior Designer FF&amp;E Manager (M/F)</x:v>
      </x:c>
      <x:c r="D54" s="7" t="str">
        <x:v>We are looking for a FF&amp;E Responsible Interior Architect (M/F) on the Côte d'Azur, France. You will ensure the selection and specification of furniture, lighting, equipment (FF&amp;E) as well as finishes for interior design projects, having a perfect knowledge of suppliers, craftsmen and partners in the fields of materials, furniture, and fabrics. This role requires a strong ability to be proactive and demonstrate creativity. Your future missions: - Identify and select suppliers, craftsmen and partners for projects. - Define FF&amp;E specifications for each project taking into account specific customer needs. - Work in close collaboration with project teams to integrate FF&amp;E into development plans. - Manage communication with suppliers and monitor orders and deliveries. - Ensure constant monitoring of new FF&amp;E trends, materials, and technologies. Where: Nice, France For how much: between 40kEUR and 60kEUR gross/year Type of contract: CDI Between us it will work if you have: - From 6 to 10 years of experience as an Interior Designer specializing in FF&amp;E - A good command of English to communicate effectively with suppliers and international partners - Proven mastery of Photoshop and Autocad for the creation and modification of plans and visuals - Are recognized for your creativity and your ability to be proactive - Have excellent communication and project management skills</x:v>
      </x:c>
      <x:c r="E54" s="5" t="str">
        <x:v>50000.0</x:v>
      </x:c>
      <x:c r="F54" s="5" t="str">
        <x:v>8c3f536e-ba66-4321-ba40-363dc39f129b</x:v>
      </x:c>
      <x:c r="G54" s="7" t="str">
        <x:v>["category specific expertise", "develop creative ideas", "develop design ideas cooperatively", "handle delivered packages", "identify suppliers", "maintain relationship with suppliers", "perform project management"]</x:v>
      </x:c>
      <x:c r="H54" s="7" t="str">
        <x:v>[]</x:v>
      </x:c>
      <x:c r="I54" s="7" t="str">
        <x:v>["develop creative ideas"]</x:v>
      </x:c>
      <x:c r="J54" s="7" t="str">
        <x:v>[]</x:v>
      </x:c>
      <x:c r="K54" s="7" t="str">
        <x:v>[]</x:v>
      </x:c>
      <x:c r="L54" s="7" t="str">
        <x:v>[]</x:v>
      </x:c>
      <x:c r="M54" s="7" t="str">
        <x:v>[]</x:v>
      </x:c>
      <x:c r="N54" s="7" t="str">
        <x:v>[]</x:v>
      </x:c>
      <x:c r="O54" s="7" t="str">
        <x:v>[]</x:v>
      </x:c>
      <x:c r="P54" s="7" t="str">
        <x:v>["creativity"]</x:v>
      </x:c>
      <x:c r="Q54" s="8" t="str">
        <x:v>no</x:v>
      </x:c>
      <x:c r="R54" s="8" t="str">
        <x:v>yes</x:v>
      </x:c>
      <x:c r="S54" s="8" t="str">
        <x:v>yes</x:v>
      </x:c>
      <x:c r="T54" s="7" t="str">
        <x:v>Reviewed against title, duties, mapped skills and detection sources.</x:v>
      </x:c>
    </x:row>
    <x:row r="55">
      <x:c r="A55" s="5" t="str">
        <x:v>soft_only</x:v>
      </x:c>
      <x:c r="B55" s="5" t="str">
        <x:v>203PSZH</x:v>
      </x:c>
      <x:c r="C55" s="7" t="str">
        <x:v>Works manager (M/F)</x:v>
      </x:c>
      <x:c r="D55" s="7" t="str">
        <x:v>We are looking for a works manager (M/F). Your missions will be: - to supervise the teams and coordinate subcontractors and companies. - responsibility for its sites and rules - implementation points - responsible for the financial management of the site - measurements, quotes, quantities - management of several sites simultaneously - responsible for its sites. Certain qualities are required: - obtain positive results and customer satisfaction - enjoy contact and teamwork, - sense of priority, punctuality, sense of the company's image, want to invest. REQUIRED EXPERIENCE SALARY ACCORDING TO SKILLS AND EXPERIENCE</x:v>
      </x:c>
      <x:c r="E55" s="5" t="str">
        <x:v>34800.0</x:v>
      </x:c>
      <x:c r="F55" s="5" t="str">
        <x:v>ba3bacd4-73e9-4861-a9c0-f89f1f28055a</x:v>
      </x:c>
      <x:c r="G55" s="7" t="str">
        <x:v>["satisfy customers", "show determination"]</x:v>
      </x:c>
      <x:c r="H55" s="7" t="str">
        <x:v>[]</x:v>
      </x:c>
      <x:c r="I55" s="7" t="str">
        <x:v>["satisfy customers"]</x:v>
      </x:c>
      <x:c r="J55" s="7" t="str">
        <x:v>[]</x:v>
      </x:c>
      <x:c r="K55" s="7" t="str">
        <x:v>[]</x:v>
      </x:c>
      <x:c r="L55" s="7" t="str">
        <x:v>[]</x:v>
      </x:c>
      <x:c r="M55" s="7" t="str">
        <x:v>[]</x:v>
      </x:c>
      <x:c r="N55" s="7" t="str">
        <x:v>[]</x:v>
      </x:c>
      <x:c r="O55" s="7" t="str">
        <x:v>[]</x:v>
      </x:c>
      <x:c r="P55" s="7" t="str">
        <x:v>["customer_interaction"]</x:v>
      </x:c>
      <x:c r="Q55" s="8" t="str">
        <x:v>no</x:v>
      </x:c>
      <x:c r="R55" s="8" t="str">
        <x:v>yes</x:v>
      </x:c>
      <x:c r="S55" s="8" t="str">
        <x:v>yes</x:v>
      </x:c>
      <x:c r="T55" s="7" t="str">
        <x:v>Reviewed against title, duties, mapped skills and detection sources.</x:v>
      </x:c>
    </x:row>
    <x:row r="56">
      <x:c r="A56" s="5" t="str">
        <x:v>soft_only</x:v>
      </x:c>
      <x:c r="B56" s="5" t="str">
        <x:v>203VPCW</x:v>
      </x:c>
      <x:c r="C56" s="7" t="str">
        <x:v>Restaurant waiter / waitress (M/F)</x:v>
      </x:c>
      <x:c r="D56" s="7" t="str">
        <x:v>Setting up the restaurant room, cleaning the room and common areas, receiving customers with courtesy, advising customers on the menu, the different dishes and drinks, taking orders and serving customers efficiently, ensuring the cleanliness and good presentation of the tables in a French gastronomy restaurant, with a local clientele, 60 seats, team of 2 to 3 servers, 5 to 6 people in the kitchen open for lunch and weekends. cut hours 10 a.m./10:30 a.m. to 2 p.m. and 6 p.m./10 p.m. or end of shift 2 days off per week site not served by public transport during working hours</x:v>
      </x:c>
      <x:c r="E56" s="5" t="str">
        <x:v>21888.0</x:v>
      </x:c>
      <x:c r="F56" s="5" t="str">
        <x:v>d5db9d5c-2ebf-4a54-a79a-1b7e7ff70471</x:v>
      </x:c>
      <x:c r="G56" s="7" t="str">
        <x:v>["clean rooms", "communicate with customers", "deal with public", "maintain personal hygiene standards"]</x:v>
      </x:c>
      <x:c r="H56" s="7" t="str">
        <x:v>[]</x:v>
      </x:c>
      <x:c r="I56" s="7" t="str">
        <x:v>["communicate with customers"]</x:v>
      </x:c>
      <x:c r="J56" s="7" t="str">
        <x:v>[]</x:v>
      </x:c>
      <x:c r="K56" s="7" t="str">
        <x:v>[]</x:v>
      </x:c>
      <x:c r="L56" s="7" t="str">
        <x:v>[]</x:v>
      </x:c>
      <x:c r="M56" s="7" t="str">
        <x:v>[]</x:v>
      </x:c>
      <x:c r="N56" s="7" t="str">
        <x:v>[]</x:v>
      </x:c>
      <x:c r="O56" s="7" t="str">
        <x:v>[]</x:v>
      </x:c>
      <x:c r="P56" s="7" t="str">
        <x:v>["communication", "customer_interaction"]</x:v>
      </x:c>
      <x:c r="Q56" s="8" t="str">
        <x:v>no</x:v>
      </x:c>
      <x:c r="R56" s="8" t="str">
        <x:v>yes</x:v>
      </x:c>
      <x:c r="S56" s="8" t="str">
        <x:v>yes</x:v>
      </x:c>
      <x:c r="T56" s="7" t="str">
        <x:v>Reviewed against title, duties, mapped skills and detection sources.</x:v>
      </x:c>
    </x:row>
    <x:row r="57">
      <x:c r="A57" s="5" t="str">
        <x:v>soft_only</x:v>
      </x:c>
      <x:c r="B57" s="5" t="str">
        <x:v>27487318</x:v>
      </x:c>
      <x:c r="C57" s="7" t="str">
        <x:v>CONSEILLER CLIENTELE H/F</x:v>
      </x:c>
      <x:c r="D57" s="7" t="str">
        <x:v>The strategy of Crédit Mutuel Alliance Fédérale is developed along 4 axes: - BANCASSURANCE: Bancassurance offers an integrated offer corresponding to the needs of our members in banking and insurance. - MUTUALISM: Our way of being and acting is based on respect and trust. The interest of the member takes precedence over the structure. - TECHNOLOGY: We master new technologies, to put them at the service of members and Funds. - PROXIMITY BANKING - Manage an “Individual” customer portfolio in an omnichannel relationship, ensure its monitoring and develop its performance - Advise, support all stages of customers' lives - Build loyalty in a customer portfolio over the long term - Identify and manage financial risks to secure the customer and the entity - Co-construct multi-service responses for customers with the support of internal expertise - Develop your portfolio by prospecting for new customers You will be supported by your Agency Director and you will work in close collaboration with the entire team. Your personality above all. Your commercial temperament demonstrated during a first successful experience in sales or customer relations. Your determination to build a quality relationship based on trust. Do you know?: - Manage a customer portfolio - Cultivate excellent customer relations - Identify potential needs and respond to them with suitable products You are: - Sociable because you like to interact with customers and evolve as a team - Adaptable because you know how to deal with new situations - Curious because being informed allows you to work better Do you recognize yourself? You are ready to invest in a human, modern bank committed to its territory, join the collective dynamic Crédit Mutuel Alliance Fédérale: apply!</x:v>
      </x:c>
      <x:c r="E57" s="5" t="str">
        <x:v>30000.0</x:v>
      </x:c>
      <x:c r="F57" s="5" t="str">
        <x:v>d96de969-d43d-4082-8559-7fc35484a217</x:v>
      </x:c>
      <x:c r="G57" s="7" t="str">
        <x:v>["build trust", "customer relationship management", "manage financial risk"]</x:v>
      </x:c>
      <x:c r="H57" s="7" t="str">
        <x:v>[]</x:v>
      </x:c>
      <x:c r="I57" s="7" t="str">
        <x:v>["customer relationship management"]</x:v>
      </x:c>
      <x:c r="J57" s="7" t="str">
        <x:v>[]</x:v>
      </x:c>
      <x:c r="K57" s="7" t="str">
        <x:v>[]</x:v>
      </x:c>
      <x:c r="L57" s="7" t="str">
        <x:v>[]</x:v>
      </x:c>
      <x:c r="M57" s="7" t="str">
        <x:v>[]</x:v>
      </x:c>
      <x:c r="N57" s="7" t="str">
        <x:v>[]</x:v>
      </x:c>
      <x:c r="O57" s="7" t="str">
        <x:v>[]</x:v>
      </x:c>
      <x:c r="P57" s="7" t="str">
        <x:v>["customer_interaction"]</x:v>
      </x:c>
      <x:c r="Q57" s="8" t="str">
        <x:v>no</x:v>
      </x:c>
      <x:c r="R57" s="8" t="str">
        <x:v>yes</x:v>
      </x:c>
      <x:c r="S57" s="8" t="str">
        <x:v>yes</x:v>
      </x:c>
      <x:c r="T57" s="7" t="str">
        <x:v>Reviewed against title, duties, mapped skills and detection sources.</x:v>
      </x:c>
    </x:row>
    <x:row r="58">
      <x:c r="A58" s="5" t="str">
        <x:v>soft_only</x:v>
      </x:c>
      <x:c r="B58" s="5" t="str">
        <x:v>202GRTC</x:v>
      </x:c>
      <x:c r="C58" s="7" t="str">
        <x:v>Chef / Head chef - Restaurant Le 1 (M/F)</x:v>
      </x:c>
      <x:c r="D58" s="7" t="str">
        <x:v>Located on the Île de Nantes, facing the Loire, Restaurant Le 1 is an emblematic address of the Nantes gastronomic scene. Led by Michelin-starred Chef Jean-Yves Guého, the establishment embodies creative, modern and cosmopolitan cuisine, where culinary standards combine with the conviviality of a high-end brasserie. The restaurant stands out for its contemporary and bright setting, offering an atmosphere that is both elegant and welcoming. Its large bay windows open onto the Loire, while the terrace, accessible all year round, invites you to a harmonious taste experience between refinement and relaxation. The philosophy of Restaurant Le 1 is based on the promotion of fresh, seasonal products from the regional terroir, carefully worked to enhance their authenticity. The team shares the same ambition: to offer a quality culinary experience, driven by passion, rigor and creativity. In this context, we are recruiting a Chef (M/F) in order to actively participate in the establishment's influence. Main missions: - Develop maps and technical sheets in collaboration with Chef Jean-Yves Guého. - Manage and organize the restaurant's kitchen service. - Manage a team and ensure the cohesion of the brigade. - Master all kitchen positions and guarantee production quality. - Transmit the values, know-how and standards of the house. - Manage supplies, stocks, monitoring ratios and material costs. - Carry out regular inventories in conjunction with the accounting department. - Apply and enforce health and safety rules according to HACCP standards. - Contribute to recruitment, organization of schedules and monitoring of team schedules. Profile sought: You have proven experience in a similar position and would like to invest in an establishment recognized for the quality of its cuisine and the stability of its team. With a keen sense of organization and great professionalism, you know how to supervise, motivate and support your team. Your rigor, your autonomy and your responsiveness are essential assets for the success of your missions. Creative and proactive, you will participate in the evolution of the menu over the seasons. Your taste for a job well done and your demand for quality of service will fully contribute to the satisfaction of our customers.</x:v>
      </x:c>
      <x:c r="E58" s="5" t="str">
        <x:v>41209.44</x:v>
      </x:c>
      <x:c r="F58" s="5" t="str">
        <x:v>1009be17-7efd-45f1-a033-566bf179c588</x:v>
      </x:c>
      <x:c r="G58" s="7" t="str">
        <x:v>["develop creative ideas", "manage a team", "manage supplies", "motivate others", "provide high quality customer service"]</x:v>
      </x:c>
      <x:c r="H58" s="7" t="str">
        <x:v>[]</x:v>
      </x:c>
      <x:c r="I58" s="7" t="str">
        <x:v>["develop creative ideas", "manage a team", "motivate others", "provide high quality customer service"]</x:v>
      </x:c>
      <x:c r="J58" s="7" t="str">
        <x:v>[]</x:v>
      </x:c>
      <x:c r="K58" s="7" t="str">
        <x:v>[]</x:v>
      </x:c>
      <x:c r="L58" s="7" t="str">
        <x:v>[]</x:v>
      </x:c>
      <x:c r="M58" s="7" t="str">
        <x:v>[]</x:v>
      </x:c>
      <x:c r="N58" s="7" t="str">
        <x:v>[]</x:v>
      </x:c>
      <x:c r="O58" s="7" t="str">
        <x:v>[]</x:v>
      </x:c>
      <x:c r="P58" s="7" t="str">
        <x:v>["creativity", "customer_interaction", "leadership"]</x:v>
      </x:c>
      <x:c r="Q58" s="8" t="str">
        <x:v>no</x:v>
      </x:c>
      <x:c r="R58" s="8" t="str">
        <x:v>yes</x:v>
      </x:c>
      <x:c r="S58" s="8" t="str">
        <x:v>yes</x:v>
      </x:c>
      <x:c r="T58" s="7" t="str">
        <x:v>Reviewed against title, duties, mapped skills and detection sources.</x:v>
      </x:c>
    </x:row>
    <x:row r="59">
      <x:c r="A59" s="5" t="str">
        <x:v>soft_only</x:v>
      </x:c>
      <x:c r="B59" s="5" t="str">
        <x:v>27783834</x:v>
      </x:c>
      <x:c r="C59" s="7" t="str">
        <x:v>Commercial (H/F)</x:v>
      </x:c>
      <x:c r="D59" s="7" t="str">
        <x:v>We are looking for a SALES MAN (M/F) in Rennes, to join our team. Your main responsibilities will be prospecting for new customers, presenting our products and services, negotiating contracts, and building customer loyalty. This permanent position is a unique opportunity to evolve in a sector with a promising future and ethical values, while benefiting from supervision and continuing training to develop your skills. Your future missions: - Actively prospect new customers in the Rennes sector. - Convincingly present our energy solutions to a varied audience. - Negotiate contracts in compliance with our quality and profitability standards. - Ensure regular follow-up with our customers to guarantee their satisfaction and loyalty. - Collaborate with the team to optimize the commercial strategy. Where: Rennes, Ille et Vilaine (35) For how much: 1,600EUR net/month + commissions + fuel card Type of contract: CDI Between us it will work if you have: - Between 3 and 6 years of experience in the commercial field, ideally with expertise in energy solutions or similar sectors. - A valid B license (required for this position) - Excellent communication skills and a talent for negotiation. - Proven ability to work independently and in a team. - Motivation to participate in constant learning in an innovative field.</x:v>
      </x:c>
      <x:c r="E59" s="5" t="str">
        <x:v>19200.0</x:v>
      </x:c>
      <x:c r="F59" s="5" t="str">
        <x:v>2a914d26-42aa-46b5-acf3-097d51ba4617</x:v>
      </x:c>
      <x:c r="G59" s="7" t="str">
        <x:v>["follow up orders for customers", "food ethics", "negotiate compromises", "negotiate sales contracts", "prospect new customers", "supervision of persons"]</x:v>
      </x:c>
      <x:c r="H59" s="7" t="str">
        <x:v>[]</x:v>
      </x:c>
      <x:c r="I59" s="7" t="str">
        <x:v>["negotiate compromises", "negotiate sales contracts"]</x:v>
      </x:c>
      <x:c r="J59" s="7" t="str">
        <x:v>[]</x:v>
      </x:c>
      <x:c r="K59" s="7" t="str">
        <x:v>[]</x:v>
      </x:c>
      <x:c r="L59" s="7" t="str">
        <x:v>[]</x:v>
      </x:c>
      <x:c r="M59" s="7" t="str">
        <x:v>[]</x:v>
      </x:c>
      <x:c r="N59" s="7" t="str">
        <x:v>[]</x:v>
      </x:c>
      <x:c r="O59" s="7" t="str">
        <x:v>[]</x:v>
      </x:c>
      <x:c r="P59" s="7" t="str">
        <x:v>["communication"]</x:v>
      </x:c>
      <x:c r="Q59" s="8" t="str">
        <x:v>no</x:v>
      </x:c>
      <x:c r="R59" s="8" t="str">
        <x:v>yes</x:v>
      </x:c>
      <x:c r="S59" s="8" t="str">
        <x:v>yes</x:v>
      </x:c>
      <x:c r="T59" s="7" t="str">
        <x:v>Reviewed against title, duties, mapped skills and detection sources.</x:v>
      </x:c>
    </x:row>
    <x:row r="60">
      <x:c r="A60" s="5" t="str">
        <x:v>soft_only</x:v>
      </x:c>
      <x:c r="B60" s="5" t="str">
        <x:v>27852505</x:v>
      </x:c>
      <x:c r="C60" s="7" t="str">
        <x:v>Refrigeration technicians SAV (M/F)</x:v>
      </x:c>
      <x:c r="D60" s="7" t="str">
        <x:v>Reporting to the maintenance manager, you ensure preventive and corrective maintenance of refrigeration and air conditioning equipment, mainly in professional environments (CHR, shops, offices, communities, industries, etc.). Depending on your skills and technical mastery, you will be able to work on different types of installations: - Cold rooms, refrigerated display cases, positive/negative cold units - Direct or indirect expansion systems, chilled water units, air/air or air/water heat pump - Split air conditioning, VRV/DRV, air treatment systems Your missions: - Ensure preventive maintenance and manage the planning of your interventions - Diagnose breakdowns, analyze malfunctions and carry out appropriate repairs - Ensure recommissioning, proper functioning tests and performance monitoring - Write precise intervention reports, with regular technical reporting - Advise customers, report possible improvements and guarantee a high level of customer satisfaction - Participate in one-off technical on-call duties (integrated into a well-organized rotation) The advantages: - A stable and friendly SME, with strong managerial proximity - Opportunity to train and develop new technical skills - A local intervention area (mainly 70) without major travel - A close-knit team and varied sites - Scalable remuneration depending on experience: from 35 to 43k for an independent and confirmed profile - Service vehicle + packed lunches, on-call bonus, other bonuses based on objectives Training in refrigeration, climate or electrotechnics (CAP, Bac Pro, BTS FEE or equivalent), you have initial after-sales service experience refrigerated. You hold the certificate of aptitude for handling refrigerant fluids, and you know how to work independently on various installations. With excellent diagnostic skills, you are rigorous, autonomous and appreciate a job well done. You have a taste for customer contact, and enjoy working in a family and technical environment. Knowledge of electricity, hydraulics and regulation will be a real plus. You will be in charge of planning and intervening with your customers. The B license is of course compulsory.</x:v>
      </x:c>
      <x:c r="E60" s="5" t="str">
        <x:v>40000.0</x:v>
      </x:c>
      <x:c r="F60" s="5" t="str">
        <x:v>3ce9c89d-6f1a-48b5-942d-386e46e2fd06</x:v>
      </x:c>
      <x:c r="G60" s="7" t="str">
        <x:v>["climatology", "communicate with customers", "contact customers", "debug software", "maintain air conditioning systems", "organise facilities for office personnel", "teach electricity principles"]</x:v>
      </x:c>
      <x:c r="H60" s="7" t="str">
        <x:v>[]</x:v>
      </x:c>
      <x:c r="I60" s="7" t="str">
        <x:v>["communicate with customers"]</x:v>
      </x:c>
      <x:c r="J60" s="7" t="str">
        <x:v>[]</x:v>
      </x:c>
      <x:c r="K60" s="7" t="str">
        <x:v>[]</x:v>
      </x:c>
      <x:c r="L60" s="7" t="str">
        <x:v>[]</x:v>
      </x:c>
      <x:c r="M60" s="7" t="str">
        <x:v>[]</x:v>
      </x:c>
      <x:c r="N60" s="7" t="str">
        <x:v>[]</x:v>
      </x:c>
      <x:c r="O60" s="7" t="str">
        <x:v>[]</x:v>
      </x:c>
      <x:c r="P60" s="7" t="str">
        <x:v>["communication", "customer_interaction"]</x:v>
      </x:c>
      <x:c r="Q60" s="8" t="str">
        <x:v>no</x:v>
      </x:c>
      <x:c r="R60" s="8" t="str">
        <x:v>yes</x:v>
      </x:c>
      <x:c r="S60" s="8" t="str">
        <x:v>yes</x:v>
      </x:c>
      <x:c r="T60" s="7" t="str">
        <x:v>Reviewed against title, duties, mapped skills and detection sources.</x:v>
      </x:c>
    </x:row>
    <x:row r="61">
      <x:c r="A61" s="5" t="str">
        <x:v>soft_only</x:v>
      </x:c>
      <x:c r="B61" s="5" t="str">
        <x:v>8746555</x:v>
      </x:c>
      <x:c r="C61" s="7" t="str">
        <x:v>Commercial / Sedentary salesperson (M/F)</x:v>
      </x:c>
      <x:c r="D61" s="7" t="str">
        <x:v>Job description: The Temporis Rennes Expert &amp; Cadres employment agency is looking for one of its clients for a "Sedentary BtoB Sales Representative POSITION TO BE FILLED ON A CDI ASAP. The framework: A company in the industrial sector In close collaboration with the rest of the team, and more particularly the field sales representatives, your mission is to ensure the daily monitoring and development of its clients (listed) by telephone and email Use the tools available to prepare calls (CRM, ERP, website, Linkedin) Retain and develop customers by discovering new needs and prospecting customers who have not ordered for more than a year Qualify leads and incoming calls Exchange daily with your field sales partner Ensure daily reporting of commercial opportunities and actions in the CRM Define your own customer follow-up actions in the CRM Position based in Rennes Position to be filled as soon as possible on a permanent basis Remuneration : 2000/2150€ gross monthly fixed + variable (5000 to 11000€ annually depending on percentage of the objective achieved Total: 31000 to 36000€ gross annually Benefits: Restaurant vouchers 10€, Mutual insurance covered at 70%, health insurance at 100%, 1 RTT per month. Full-time contract from Monday to Friday Training will be provided to you at the headquarters in Paris. And you Holder of a bac +2 oriented in commerce, you have a first successful experience in a similar position With an excellent sense of customer contact, you master sales techniques and appreciate teamwork You are proficient in the use of commerce-related software (ERP, CRM Do you like a challenge and have a persevering temperament? If you find yourself in this ad apply directly to this offer For more information contact us at ***Antoine and Marie are looking forward to discovering your position. application TEMPORIS, the leading national franchise temping and recruitment network, offers all its clients, temporary workers and companies, the involvement and responsiveness of local independent workers. Come and discover a new concept of employment!</x:v>
      </x:c>
      <x:c r="E61" s="5" t="str">
        <x:v>33500.0</x:v>
      </x:c>
      <x:c r="F61" s="5" t="str">
        <x:v>14031d4a-6e99-442f-b4fe-18262b6432b2</x:v>
      </x:c>
      <x:c r="G61" s="7" t="str">
        <x:v>["identify customer's needs", "prospect new customers", "sales promotion techniques"]</x:v>
      </x:c>
      <x:c r="H61" s="7" t="str">
        <x:v>[]</x:v>
      </x:c>
      <x:c r="I61" s="7" t="str">
        <x:v>["identify customer's needs"]</x:v>
      </x:c>
      <x:c r="J61" s="7" t="str">
        <x:v>[]</x:v>
      </x:c>
      <x:c r="K61" s="7" t="str">
        <x:v>[]</x:v>
      </x:c>
      <x:c r="L61" s="7" t="str">
        <x:v>[]</x:v>
      </x:c>
      <x:c r="M61" s="7" t="str">
        <x:v>[]</x:v>
      </x:c>
      <x:c r="N61" s="7" t="str">
        <x:v>[]</x:v>
      </x:c>
      <x:c r="O61" s="7" t="str">
        <x:v>[]</x:v>
      </x:c>
      <x:c r="P61" s="7" t="str">
        <x:v>["customer_interaction"]</x:v>
      </x:c>
      <x:c r="Q61" s="8" t="str">
        <x:v>no</x:v>
      </x:c>
      <x:c r="R61" s="8" t="str">
        <x:v>yes</x:v>
      </x:c>
      <x:c r="S61" s="8" t="str">
        <x:v>yes</x:v>
      </x:c>
      <x:c r="T61" s="7" t="str">
        <x:v>Reviewed against title, duties, mapped skills and detection sources.</x:v>
      </x:c>
    </x:row>
    <x:row r="62">
      <x:c r="A62" s="5" t="str">
        <x:v>soft_only</x:v>
      </x:c>
      <x:c r="B62" s="5" t="str">
        <x:v>27719178</x:v>
      </x:c>
      <x:c r="C62" s="7" t="str">
        <x:v>Accountant memoirist (M/F)</x:v>
      </x:c>
      <x:c r="D62" s="7" t="str">
        <x:v>NEXTEP HR is recruiting! Chartered Accountant M/F - CDI In direct collaboration with the chartered accountant, you mainly work on accounting review and file supervision missions. You will support a portfolio of diversified clients (VSE/SME, craftsmen, liberal professions) in the production of their accounts and in their management. Your main responsibilities: - Review of annual accounts - Supervision of employees' work - Preparation of tax packages and declarations - Preparation and presentation of balance sheets to clients - First-level advice to clients - Possibility of participating in exceptional missions (audit, consulting, business creation, etc.) Why join this firm? - A pleasant and caring working environment in Mérignac - Personalized support towards obtaining the DEC - Prospects for advancement within the firm - An organization promoting autonomy and quality of life at work - Attractive remuneration according to profile + benefits (restaurant vouchers, partial teleworking, etc.) You are a memoirist currently completing your DEC or recently graduated. You have a first successful experience in a firm, with good mastery of revision work. You are rigorous, autonomous, and have a taste for customer contact.</x:v>
      </x:c>
      <x:c r="E62" s="5" t="str">
        <x:v>35000.0</x:v>
      </x:c>
      <x:c r="F62" s="5" t="str">
        <x:v>1ad59946-d13e-441e-9b36-56e1df055e21</x:v>
      </x:c>
      <x:c r="G62" s="7" t="str">
        <x:v>["consult with business clients", "contact customers"]</x:v>
      </x:c>
      <x:c r="H62" s="7" t="str">
        <x:v>[]</x:v>
      </x:c>
      <x:c r="I62" s="7" t="str">
        <x:v>["consult with business clients"]</x:v>
      </x:c>
      <x:c r="J62" s="7" t="str">
        <x:v>[]</x:v>
      </x:c>
      <x:c r="K62" s="7" t="str">
        <x:v>[]</x:v>
      </x:c>
      <x:c r="L62" s="7" t="str">
        <x:v>[]</x:v>
      </x:c>
      <x:c r="M62" s="7" t="str">
        <x:v>[]</x:v>
      </x:c>
      <x:c r="N62" s="7" t="str">
        <x:v>[]</x:v>
      </x:c>
      <x:c r="O62" s="7" t="str">
        <x:v>[]</x:v>
      </x:c>
      <x:c r="P62" s="7" t="str">
        <x:v>["customer_interaction"]</x:v>
      </x:c>
      <x:c r="Q62" s="8" t="str">
        <x:v>no</x:v>
      </x:c>
      <x:c r="R62" s="8" t="str">
        <x:v>yes</x:v>
      </x:c>
      <x:c r="S62" s="8" t="str">
        <x:v>yes</x:v>
      </x:c>
      <x:c r="T62" s="7" t="str">
        <x:v>Reviewed against title, duties, mapped skills and detection sources.</x:v>
      </x:c>
    </x:row>
    <x:row r="63">
      <x:c r="A63" s="5" t="str">
        <x:v>soft_only</x:v>
      </x:c>
      <x:c r="B63" s="5" t="str">
        <x:v>203LSTB</x:v>
      </x:c>
      <x:c r="C63" s="7" t="str">
        <x:v>File manager M/F</x:v>
      </x:c>
      <x:c r="D63" s="7" t="str">
        <x:v>You will be in charge of: responsibility for a portfolio of a diverse clientele composed mainly of BIC and BNC (60 files), you intern on account review missions, carry out all tax declarations, the balance sheet and the bundle. You must also provide advice and produce dashboards and forecasts.</x:v>
      </x:c>
      <x:c r="E63" s="5" t="str">
        <x:v>37000.0</x:v>
      </x:c>
      <x:c r="F63" s="5" t="str">
        <x:v>eda0d957-3c3c-4139-b89a-a18bc9e18897</x:v>
      </x:c>
      <x:c r="G63" s="7" t="str">
        <x:v>["assume responsibility"]</x:v>
      </x:c>
      <x:c r="H63" s="7" t="str">
        <x:v>[]</x:v>
      </x:c>
      <x:c r="I63" s="7" t="str">
        <x:v>["assume responsibility"]</x:v>
      </x:c>
      <x:c r="J63" s="7" t="str">
        <x:v>[]</x:v>
      </x:c>
      <x:c r="K63" s="7" t="str">
        <x:v>[]</x:v>
      </x:c>
      <x:c r="L63" s="7" t="str">
        <x:v>[]</x:v>
      </x:c>
      <x:c r="M63" s="7" t="str">
        <x:v>[]</x:v>
      </x:c>
      <x:c r="N63" s="7" t="str">
        <x:v>[]</x:v>
      </x:c>
      <x:c r="O63" s="7" t="str">
        <x:v>[]</x:v>
      </x:c>
      <x:c r="P63" s="7" t="str">
        <x:v>["initiative_responsibility"]</x:v>
      </x:c>
      <x:c r="Q63" s="8" t="str">
        <x:v>no</x:v>
      </x:c>
      <x:c r="R63" s="8" t="str">
        <x:v>yes</x:v>
      </x:c>
      <x:c r="S63" s="8" t="str">
        <x:v>yes</x:v>
      </x:c>
      <x:c r="T63" s="7" t="str">
        <x:v>Reviewed against title, duties, mapped skills and detection sources.</x:v>
      </x:c>
    </x:row>
    <x:row r="64">
      <x:c r="A64" s="5" t="str">
        <x:v>soft_only</x:v>
      </x:c>
      <x:c r="B64" s="5" t="str">
        <x:v>8469455</x:v>
      </x:c>
      <x:c r="C64" s="7" t="str">
        <x:v>Mason team leader (M/F)</x:v>
      </x:c>
      <x:c r="D64" s="7" t="str">
        <x:v>Becoming a temporary worker at Start People means benefiting from numerous advantages: -A sponsorship bonus of €100 if you help one of your friends to be employed by Start People on a temporary, fixed-term or permanent basis -A profit-sharing bonus based on your hours worked -Training offers to help you improve your skills and progress in your career -A Social and Economic Committee which offers you numerous advantages for your family events, sporting activities, vacations, etc. -Support from the FASTT from the moment you 1st hour worked (housing, mobility, childcare, complementary health insurance, etc.) Our StartApp application makes your daily life as a temporary worker easier: your deposits, time records, certificates and other documents will be at your fingertips! About Start People Permanent contract, fixed-term contract or temporary contract, whatever the sector of activity, Start People supports you throughout your professional career. At Start People, we prioritize human relations and delegate 100,000 people each year. Our teams listen to your needs and are attentive to your constraints to offer you the most suitable mission with one of our 19,000 client companies. Thousands of job offers are online every day on our site startpeople.fr. POSITION: TEAM LEADER (M/F) START PEOPLE from Pontivy is looking for a Team Leader M/F, on a permanent contract, for one of its clients, based in the Rostrenen sector. The company is a general carpentry company located, ensuring the manufacture of carpentry, installation and After-Sales Service. They work with individuals, communities and businesses (collective housing, industrial buildings, commercial premises, offices, schools, hospitals, individual homes, etc.) for: - Exterior carpentry with the installation of wood, PVC and aluminum openings (windows, doors, gates, garage doors, shutters, automations). - Interior carpentry and layout - Drywall and insulation, both interior and exterior Our aluminum joinery and wood joinery are manufactured in our workshops. With its 25 years of experience, its modern machine fleet and its 35 experienced employees, their development ambitions lead them to currently recruit. We are looking for a Carpenter - team leader m/f for a permanent contract and to start as soon as possible. You will have the opportunity to work on various construction and renovation projects, using your technical skills and your artisanal know-how. Your missions are as follows: • Carry out the installation of wood, aluminum or PVC joinery (doors, windows, shutters, garage doors, etc.). • Read and interpret technical plans to ensure the precision of the achievements. • Use portable power tools to make the necessary cuts, assemblies and finishes. • Collaborate with other building professionals to guarantee the harmony of the work carried out. • Respect safety standards on the site and ensure the quality of the work provided. • Respect the installation standards for exterior joinery. • Represent the company to customers • Supervise and organize tasks for the team • Report to the Works Manager PROFILE: • You have training in exterior carpentry. • You have significant experience of more than 5 years in this profession • You are rigorous, autonomous and have a good sense of organization. • You enjoy working in a team while being able to work independently. • You work in pairs with a carpenter and will work on construction sites departing from Rostrenen • 39 hours/week from Monday to Friday Advantages: • Interest in the company's results • Company savings plan • Company mutual family contract • Lunches paid by the company • 1 Friday in 3 not worked • RTT • Salary according to level of skills and autonomy • Recent vehicle and tools As part of its policy Diversity, Start People studies all applications with equal skills, including those from people with disabilities. Are you interested in this mission? Go ahead and apply now! Our agency will get back to you by e-mail or telephone, then you will be able to speak with a recruitment manager, so that they can validate the suitability of your profile. We will then welcome you in</x:v>
      </x:c>
      <x:c r="E64" s="5" t="str">
        <x:v>27000.0</x:v>
      </x:c>
      <x:c r="F64" s="5" t="str">
        <x:v>046574a1-9bb3-4a80-8a7b-83dc7db1dae2</x:v>
      </x:c>
      <x:c r="G64" s="7" t="str">
        <x:v>["babysitting", "carpentry", "communicate by telephone", "complementary and alternative medicine", "mobility as a service", "organise facilities for office personnel"]</x:v>
      </x:c>
      <x:c r="H64" s="7" t="str">
        <x:v>[]</x:v>
      </x:c>
      <x:c r="I64" s="7" t="str">
        <x:v>["communicate by telephone"]</x:v>
      </x:c>
      <x:c r="J64" s="7" t="str">
        <x:v>[]</x:v>
      </x:c>
      <x:c r="K64" s="7" t="str">
        <x:v>[]</x:v>
      </x:c>
      <x:c r="L64" s="7" t="str">
        <x:v>[]</x:v>
      </x:c>
      <x:c r="M64" s="7" t="str">
        <x:v>[]</x:v>
      </x:c>
      <x:c r="N64" s="7" t="str">
        <x:v>[]</x:v>
      </x:c>
      <x:c r="O64" s="7" t="str">
        <x:v>[]</x:v>
      </x:c>
      <x:c r="P64" s="7" t="str">
        <x:v>["communication"]</x:v>
      </x:c>
      <x:c r="Q64" s="8" t="str">
        <x:v>no</x:v>
      </x:c>
      <x:c r="R64" s="8" t="str">
        <x:v>yes</x:v>
      </x:c>
      <x:c r="S64" s="8" t="str">
        <x:v>yes</x:v>
      </x:c>
      <x:c r="T64" s="7" t="str">
        <x:v>Reviewed against title, duties, mapped skills and detection sources.</x:v>
      </x:c>
    </x:row>
    <x:row r="65">
      <x:c r="A65" s="5" t="str">
        <x:v>soft_only</x:v>
      </x:c>
      <x:c r="B65" s="5" t="str">
        <x:v>752962//</x:v>
      </x:c>
      <x:c r="C65" s="7" t="str">
        <x:v>Series Life Design Office Manager M/F</x:v>
      </x:c>
      <x:c r="D65" s="7" t="str">
        <x:v>¢ Lead, train and supervise a team of 4 engineers and draftsmen ¢ Plan workloads ¢ Ensure the development of skills and evaluation of employees ¢ Supervise and participate in studies and quotes following the specifications (analysis, clause-by-clause, project review, etc.). ¢ Determine, in consultation with project managers and CAD designers, the most suitable technical solution in order to meet the requirements of the specifications in both technical and financial terms. ¢ Ensure the planning and monitoring of studies. ¢ Establish definition files for the products studied (plans, nomenclatures, specifications) as part of the serial life. ¢ Establish and/or supervise technical files. ¢ Manage standards relating to serial life activity. ¢ Validate the mechanical design of the systems. ¢ Participate in industrialization actions with the Industrialization department. ¢ Provide technical support to related services. - At a BAC + 5 level, you have strong technical knowledge in general mechanics (machining, welding, pneumatics, functional quotations), - Minimum 5 years of experience in a design office, including at least 2 or 3 years in a management role - Rigor, sense of organization and excellent skills in priority management, - Mastery of English required (spoken, read and written). - Mastery of design and CAD tools on PTC CREO software - Mastery of GPS functional rating - Ability to analyze and resolve complex technical problems</x:v>
      </x:c>
      <x:c r="E65" s="5" t="str">
        <x:v>52500.0</x:v>
      </x:c>
      <x:c r="F65" s="5" t="str">
        <x:v>73ceb2f9-18e3-4cfe-9c06-e9fb31ece440</x:v>
      </x:c>
      <x:c r="G65" s="7" t="str">
        <x:v>["CAD software", "coordinate engineering teams", "join metals", "pneumatics", "solve technical problems"]</x:v>
      </x:c>
      <x:c r="H65" s="7" t="str">
        <x:v>[]</x:v>
      </x:c>
      <x:c r="I65" s="7" t="str">
        <x:v>["solve technical problems"]</x:v>
      </x:c>
      <x:c r="J65" s="7" t="str">
        <x:v>[]</x:v>
      </x:c>
      <x:c r="K65" s="7" t="str">
        <x:v>[]</x:v>
      </x:c>
      <x:c r="L65" s="7" t="str">
        <x:v>[]</x:v>
      </x:c>
      <x:c r="M65" s="7" t="str">
        <x:v>[]</x:v>
      </x:c>
      <x:c r="N65" s="7" t="str">
        <x:v>[]</x:v>
      </x:c>
      <x:c r="O65" s="7" t="str">
        <x:v>[]</x:v>
      </x:c>
      <x:c r="P65" s="7" t="str">
        <x:v>["problem_solving"]</x:v>
      </x:c>
      <x:c r="Q65" s="8" t="str">
        <x:v>no</x:v>
      </x:c>
      <x:c r="R65" s="8" t="str">
        <x:v>yes</x:v>
      </x:c>
      <x:c r="S65" s="8" t="str">
        <x:v>yes</x:v>
      </x:c>
      <x:c r="T65" s="7" t="str">
        <x:v>Reviewed against title, duties, mapped skills and detection sources.</x:v>
      </x:c>
    </x:row>
    <x:row r="66">
      <x:c r="A66" s="5" t="str">
        <x:v>soft_only</x:v>
      </x:c>
      <x:c r="B66" s="5" t="str">
        <x:v>203JGNP</x:v>
      </x:c>
      <x:c r="C66" s="7" t="str">
        <x:v>Bodywork painter / Automotive bodywork painter (M/F)</x:v>
      </x:c>
      <x:c r="D66" s="7" t="str">
        <x:v>We are looking for an experienced automotive bodywork painter to join our garage located in Saint Gratien. Re. You will be responsible for the repair and painting of our customers' vehicle bodies, ensuring quality finishes and respecting safety standards. Main missions: Repair damaged bodywork elements (dent removal, straightening, changing parts). Prepare the surfaces before painting (sanding, puttying, anti-corrosion treatment). Apply paints and varnishes in the cabin according to technical specifications. Ensure quality control of the work carried out. Respect safety standards and internal procedures. Communicate with customers about the work carried out and the condition of their vehicle. Profile sought: Diploma in automobile bodywork (CAP, Bac Pro, Additional Mention). Minimum 2 years experience as a bodywork painter. Mastery of automobile repair and painting techniques. Ability to work in a team and independently. Sense of detail and finishing. Driving license B.</x:v>
      </x:c>
      <x:c r="E66" s="5" t="str">
        <x:v>29400.0</x:v>
      </x:c>
      <x:c r="F66" s="5" t="str">
        <x:v>5ab842f6-1f75-4d84-bf41-b8a9799347df</x:v>
      </x:c>
      <x:c r="G66" s="7" t="str">
        <x:v>["apply body paint", "communicate with customers", "create 2D painting", "work independently"]</x:v>
      </x:c>
      <x:c r="H66" s="7" t="str">
        <x:v>[]</x:v>
      </x:c>
      <x:c r="I66" s="7" t="str">
        <x:v>["communicate with customers", "work independently"]</x:v>
      </x:c>
      <x:c r="J66" s="7" t="str">
        <x:v>[]</x:v>
      </x:c>
      <x:c r="K66" s="7" t="str">
        <x:v>[]</x:v>
      </x:c>
      <x:c r="L66" s="7" t="str">
        <x:v>[]</x:v>
      </x:c>
      <x:c r="M66" s="7" t="str">
        <x:v>[]</x:v>
      </x:c>
      <x:c r="N66" s="7" t="str">
        <x:v>[]</x:v>
      </x:c>
      <x:c r="O66" s="7" t="str">
        <x:v>[]</x:v>
      </x:c>
      <x:c r="P66" s="7" t="str">
        <x:v>["communication", "customer_interaction", "initiative_responsibility"]</x:v>
      </x:c>
      <x:c r="Q66" s="8" t="str">
        <x:v>no</x:v>
      </x:c>
      <x:c r="R66" s="8" t="str">
        <x:v>yes</x:v>
      </x:c>
      <x:c r="S66" s="8" t="str">
        <x:v>yes</x:v>
      </x:c>
      <x:c r="T66" s="7" t="str">
        <x:v>Reviewed against title, duties, mapped skills and detection sources.</x:v>
      </x:c>
    </x:row>
    <x:row r="67">
      <x:c r="A67" s="5" t="str">
        <x:v>soft_only</x:v>
      </x:c>
      <x:c r="B67" s="5" t="str">
        <x:v>27926395</x:v>
      </x:c>
      <x:c r="C67" s="7" t="str">
        <x:v>New Works Project Manager - Nuclear Piping F/M</x:v>
      </x:c>
      <x:c r="D67" s="7" t="str">
        <x:v>What do we offer? Reporting to the Project Unit Manager, you are in charge of managing the various maintenance projects or modifications/new works on nuclear sites in France. Manage exceptional projects: maintenance, modifications and new work in the field of piping/welding. Develop impactful offers: write technical and commercial proposals that make the difference during calls for tenders. Negotiate and convince: be the client's key contact to secure and optimize contracts. Orchestrate operations: plan each phase of the project and coordinate teams for flawless execution. Stay focused on excellence: ensure deadlines are met, adjust resources and anticipate deviations. Guarantee safety and performance: promote and apply Quality and Safety policies with high standards. Manage results: monitor financial dashboards and ensure project profitability. Who are you ? You have completed higher education in piping/boilermaking/welding (ideally) and have relevant experience. Rigor, responsiveness and communication skills will be your best assets for this position. Knowledge of nuclear power is essential.</x:v>
      </x:c>
      <x:c r="E67" s="5" t="str">
        <x:v>50000.0</x:v>
      </x:c>
      <x:c r="F67" s="5" t="str">
        <x:v>53d2052f-edc0-4f44-8be1-164526412bfe</x:v>
      </x:c>
      <x:c r="G67" s="7" t="str">
        <x:v>["ensure health and safety of customers", "manage maintenance operations", "negotiate price"]</x:v>
      </x:c>
      <x:c r="H67" s="7" t="str">
        <x:v>[]</x:v>
      </x:c>
      <x:c r="I67" s="7" t="str">
        <x:v>["negotiate price"]</x:v>
      </x:c>
      <x:c r="J67" s="7" t="str">
        <x:v>[]</x:v>
      </x:c>
      <x:c r="K67" s="7" t="str">
        <x:v>[]</x:v>
      </x:c>
      <x:c r="L67" s="7" t="str">
        <x:v>[]</x:v>
      </x:c>
      <x:c r="M67" s="7" t="str">
        <x:v>[]</x:v>
      </x:c>
      <x:c r="N67" s="7" t="str">
        <x:v>[]</x:v>
      </x:c>
      <x:c r="O67" s="7" t="str">
        <x:v>[]</x:v>
      </x:c>
      <x:c r="P67" s="7" t="str">
        <x:v>["communication"]</x:v>
      </x:c>
      <x:c r="Q67" s="8" t="str">
        <x:v>no</x:v>
      </x:c>
      <x:c r="R67" s="8" t="str">
        <x:v>yes</x:v>
      </x:c>
      <x:c r="S67" s="8" t="str">
        <x:v>yes</x:v>
      </x:c>
      <x:c r="T67" s="7" t="str">
        <x:v>Reviewed against title, duties, mapped skills and detection sources.</x:v>
      </x:c>
    </x:row>
    <x:row r="68">
      <x:c r="A68" s="5" t="str">
        <x:v>soft_only</x:v>
      </x:c>
      <x:c r="B68" s="5" t="str">
        <x:v>750766//RBE</x:v>
      </x:c>
      <x:c r="C68" s="7" t="str">
        <x:v>Design Office Manager M/F</x:v>
      </x:c>
      <x:c r="D68" s="7" t="str">
        <x:v>Management of a multidisciplinary team Manages study needs: • Records, monitors and analyzes the needs expressed by internal clients, in dialogue with the associated key contacts, in order to define the technical objectives and priorities for the team; • Leads design reviews, guarantees the quality of analyses. Organization, planning and management: • Defines, plans and organizes the resources necessary to enable the requested studies to be carried out; • Coordinates the activities of his department, monitors the progress of his team's deliverables and manages the daily workload schedule; • Supervises the activity budget and plans the investments necessary for the smooth running of the activity. Technical management • Supervises the technical studies carried out by his team, ensuring: o The achievement of project objectives; o Compliance with standards, codes and regulations; o Technical coherence, modularity and standardization of the solutions developed. • Provides technical support to the team and other departments; • Coordinates its actions with the center of experts and the technical referent and obtains validation from the design authority. Industrialization and methods • Determines, with his team as well as production and purchasing, the production methods and processes to transform designs into industrial processes; • Validates/arbitrates and/or has validated/arbitrated technical choices and guarantees their alignment with development objectives and project constraints (cost, deadline, performance, security). Management of documentation and technical quality: • Supervises the production of technical files (2D/3D plans, studies, calculation notes, diagrams, regulations, etc.) and ensures their traceability; • Pilots or participates in the analysis of hazards and validates their treatment; • Ensures the monitoring and proper functioning of the CAD data management system (PDM). Continuous improvement and procedures: • Develops and continually improves development processes and procedures dedicated to its scope; • Capitalizes on feedback by standardizing technical choices and designs; • Monitors compliance with procedures and regulations in force regarding safety and the environment, trains and informs employees within its scope. -Proven experience in management and within an industrial design office -Specialization in the field of design office activity (mechanics, production, industrialization) -Know how to translate a functional analysis of needs into technical specifications -Team leadership, pedagogy -Know how to organize an activity: planning, priority management -Ability to analyze and resolve problems, manage contingencies -Management, knowing how to bring together a team -Knowledge of industrial techniques and processes (mechanical, thermal, electrical, etc.) -Knowledge of standards and regulations -Knowledge of IT tools: office automation, CAD (Solidworks), Simulation (COMSOL), PDM (Team Center), ERP for your area of expertise</x:v>
      </x:c>
      <x:c r="E68" s="5" t="str">
        <x:v>62500.0</x:v>
      </x:c>
      <x:c r="F68" s="5" t="str">
        <x:v>73ceb2f9-18e3-4cfe-9c06-e9fb31ece440</x:v>
      </x:c>
      <x:c r="G68" s="7" t="str">
        <x:v>["CAD software", "computer simulation", "continuous improvement philosophies", "define technical requirements", "develop procedures in case of defects", "identify clients' needs", "industrial design", "make investment decisions", "manage a multidisciplinary team involved in patient care", "pedagogy", "present artistic design proposals", "production processes", "provide user documentation"]</x:v>
      </x:c>
      <x:c r="H68" s="7" t="str">
        <x:v>[]</x:v>
      </x:c>
      <x:c r="I68" s="7" t="str">
        <x:v>["manage a multidisciplinary team involved in patient care"]</x:v>
      </x:c>
      <x:c r="J68" s="7" t="str">
        <x:v>[]</x:v>
      </x:c>
      <x:c r="K68" s="7" t="str">
        <x:v>[]</x:v>
      </x:c>
      <x:c r="L68" s="7" t="str">
        <x:v>[]</x:v>
      </x:c>
      <x:c r="M68" s="7" t="str">
        <x:v>[]</x:v>
      </x:c>
      <x:c r="N68" s="7" t="str">
        <x:v>[]</x:v>
      </x:c>
      <x:c r="O68" s="7" t="str">
        <x:v>[]</x:v>
      </x:c>
      <x:c r="P68" s="7" t="str">
        <x:v>["teamwork"]</x:v>
      </x:c>
      <x:c r="Q68" s="8" t="str">
        <x:v>no</x:v>
      </x:c>
      <x:c r="R68" s="8" t="str">
        <x:v>yes</x:v>
      </x:c>
      <x:c r="S68" s="8" t="str">
        <x:v>yes</x:v>
      </x:c>
      <x:c r="T68" s="7" t="str">
        <x:v>Reviewed against title, duties, mapped skills and detection sources.</x:v>
      </x:c>
    </x:row>
    <x:row r="69">
      <x:c r="A69" s="5" t="str">
        <x:v>soft_only</x:v>
      </x:c>
      <x:c r="B69" s="5" t="str">
        <x:v>27843317</x:v>
      </x:c>
      <x:c r="C69" s="7" t="str">
        <x:v>Gtc gtb works manager (M/F)</x:v>
      </x:c>
      <x:c r="D69" s="7" t="str">
        <x:v>Our team specializing in automation and building technical management systems (GTC/GTB) supports its client, a recognized player in electrical engineering and building regulation, based in the South-West, in the recruitment of its future: Works Manager GTC / GTB / Automation (M/F) on permanent contract As part of business development, you will join an innovative company working on tertiary and industrial projects, with modern and efficient supervision solutions. Start date: as soon as possible Reporting to the Activity Manager, you will work in close collaboration with the study and commissioning teams on highly technical energy automation projects. Your main missions: Prepare, plan and manage construction sites in BMS/BMS and automation. Supervise the installations, programming and commissioning of regulation and supervision systems. Coordinate internal teams and subcontractors. Ensure compliance with technical standards, quality and deadlines. Lead site meetings and ensure customer communication. Monitor budgetary aspects and progress reporting. Participate in the reception of installations and the development phase. Training: Bac+2 minimum in electrical engineering, automation, regulation or equivalent. Experience: confirmed experience in BMS/BMS work management, regulation or industrial automation. Expected skills: Knowledge of technical building management systems (HVAC, lighting, energy). Mastery of Schneider and Wago software (programming/supervision). Reading electrical and synoptic diagrams. Knowledge of communication protocols (Modbus, Bacnet, KNX...). Personal qualities: Autonomy, rigor and sense of service. Analytical ability and spirit of synthesis. Good customer relations and a taste for teamwork. Conditions and benefits: Remuneration: depending on profile and experience. Service or company vehicle. Travel: regional (South-West). Teleworking: according to internal agreements Ready to join the adventure? Do you recognize yourself in the spirit of the post? Apply now! And if a few things don't fit perfectly, but you see yourself in this type of environment, contact us anyway.</x:v>
      </x:c>
      <x:c r="E69" s="5" t="str">
        <x:v>37500.0</x:v>
      </x:c>
      <x:c r="F69" s="5" t="str">
        <x:v>ba3bacd4-73e9-4861-a9c0-f89f1f28055a</x:v>
      </x:c>
      <x:c r="G69" s="7" t="str">
        <x:v>["automation technology", "budgetary principles", "communicate with customers", "computer programming", "design a building management system", "lead board meetings", "manage event structure installation", "meet deadlines", "supervision of persons"]</x:v>
      </x:c>
      <x:c r="H69" s="7" t="str">
        <x:v>[]</x:v>
      </x:c>
      <x:c r="I69" s="7" t="str">
        <x:v>["communicate with customers", "meet deadlines"]</x:v>
      </x:c>
      <x:c r="J69" s="7" t="str">
        <x:v>[]</x:v>
      </x:c>
      <x:c r="K69" s="7" t="str">
        <x:v>[]</x:v>
      </x:c>
      <x:c r="L69" s="7" t="str">
        <x:v>[]</x:v>
      </x:c>
      <x:c r="M69" s="7" t="str">
        <x:v>[]</x:v>
      </x:c>
      <x:c r="N69" s="7" t="str">
        <x:v>[]</x:v>
      </x:c>
      <x:c r="O69" s="7" t="str">
        <x:v>[]</x:v>
      </x:c>
      <x:c r="P69" s="7" t="str">
        <x:v>["communication", "customer_interaction", "initiative_responsibility"]</x:v>
      </x:c>
      <x:c r="Q69" s="8" t="str">
        <x:v>no</x:v>
      </x:c>
      <x:c r="R69" s="8" t="str">
        <x:v>yes</x:v>
      </x:c>
      <x:c r="S69" s="8" t="str">
        <x:v>yes</x:v>
      </x:c>
      <x:c r="T69" s="7" t="str">
        <x:v>Reviewed against title, duties, mapped skills and detection sources.</x:v>
      </x:c>
    </x:row>
    <x:row r="70">
      <x:c r="A70" s="5" t="str">
        <x:v>soft_only</x:v>
      </x:c>
      <x:c r="B70" s="5" t="str">
        <x:v>27734669</x:v>
      </x:c>
      <x:c r="C70" s="7" t="str">
        <x:v>Technicien.ne atelier (H/F)</x:v>
      </x:c>
      <x:c r="D70" s="7" t="str">
        <x:v>For more than 30 years, the Interaction Group has supported companies and candidates in their professional projects. With 230 agencies and firms throughout France, we offer temporary assignments, fixed-term and permanent contracts in many sectors: logistics, agri-food, transport, health, and many others. Every month, more than 30,000 temporary employees trust us to advance their professional careers. Proximity, listening and support are at the heart of our commitments. Interaction, there are thousands of job offers near you in all areas: order preparation, handling, construction, industry, tertiary... Come and meet us to find a job that suits you. Carry out preventive and corrective maintenance operations on equipment, ensuring safety, profitability and customer satisfaction. Apply the technical and administrative procedures defined by the company. Carry out a precise diagnosis of breakdowns and the condition of the trucks, and propose the corresponding quote if necessary. Receive and assess the equipment upon arrival at the workshop. Ensure logistics management linked to the position: loading and unloading of carts, spare parts and stock monitoring. Write intervention reports and transmit a clear and regular report to management. Carry out Periodic General Visits (VPG) on the Short Term Rental fleet. Ensure the conformity of used forklifts in accordance with current internal procedures. Bac Pro or BTS training in mechanics/electrotechnics. A first experience in a workshop would be appreciated. Rigor, analytical mind and autonomy in taking initiatives. Want to learn and progress in a technical environment.</x:v>
      </x:c>
      <x:c r="E70" s="5" t="str">
        <x:v>27000.0</x:v>
      </x:c>
      <x:c r="F70" s="5" t="str">
        <x:v>5791a961-4717-4230-a245-a4082a675f04</x:v>
      </x:c>
      <x:c r="G70" s="7" t="str">
        <x:v>["adhere to health well-being and safety", "estimate profitability", "facilitate compositional structures in dance", "maintain sorting equipment", "satisfy customers", "think analytically"]</x:v>
      </x:c>
      <x:c r="H70" s="7" t="str">
        <x:v>[]</x:v>
      </x:c>
      <x:c r="I70" s="7" t="str">
        <x:v>["satisfy customers", "think analytically"]</x:v>
      </x:c>
      <x:c r="J70" s="7" t="str">
        <x:v>[]</x:v>
      </x:c>
      <x:c r="K70" s="7" t="str">
        <x:v>[]</x:v>
      </x:c>
      <x:c r="L70" s="7" t="str">
        <x:v>[]</x:v>
      </x:c>
      <x:c r="M70" s="7" t="str">
        <x:v>[]</x:v>
      </x:c>
      <x:c r="N70" s="7" t="str">
        <x:v>[]</x:v>
      </x:c>
      <x:c r="O70" s="7" t="str">
        <x:v>[]</x:v>
      </x:c>
      <x:c r="P70" s="7" t="str">
        <x:v>["customer_interaction", "problem_solving"]</x:v>
      </x:c>
      <x:c r="Q70" s="8" t="str">
        <x:v>no</x:v>
      </x:c>
      <x:c r="R70" s="8" t="str">
        <x:v>yes</x:v>
      </x:c>
      <x:c r="S70" s="8" t="str">
        <x:v>yes</x:v>
      </x:c>
      <x:c r="T70" s="7" t="str">
        <x:v>Reviewed against title, duties, mapped skills and detection sources.</x:v>
      </x:c>
    </x:row>
    <x:row r="71">
      <x:c r="A71" s="5" t="str">
        <x:v>soft_only</x:v>
      </x:c>
      <x:c r="B71" s="5" t="str">
        <x:v>clubcomptable-1218</x:v>
      </x:c>
      <x:c r="C71" s="7" t="str">
        <x:v>Payroll Manager (M/F)</x:v>
      </x:c>
      <x:c r="D71" s="7" t="str">
        <x:v>Description: Experience of at least 3 years in an accounting firm is required for this position to ensure excellence in customer relations and payroll management. Our partner, a human-sized firm located in Rouen, is looking for a Payroll Manager who enjoys customer contact and advice. Join a structure where communication and responsiveness are the keys to success. Your missions Reporting to a Chartered Accountant, you work on a varied client portfolio: - Entry and integration of variable payroll elements. - Preparation of pay slips (mainly VSE/SME). - Completion of periodic social declarations (DSN, cash registers, etc.). - First level advice to clients on the application of social law. - Participation in control work (proof of social charges, DSN). Recruitment support: Recruitment is entrusted to Victor - Recruitment Manager Normand - No CV sent without your validation - Precise presentation of the position and the firm before any approach - Individualized and confidential monitoring until integration Requirements: Profile sought: - Bac+2 / Bac+3 in payroll or HR (BTS, Professional license, etc.) - Desired experience: 2 to 3 years in the firm - Rigor, organization, interpersonal skills - Team spirit and desire to learn on a daily basis Advantages: What the firm offers: - Full-time permanent contract, based in Rouen. - Flexible hours to facilitate work-life balance. - Teleworking possible one day per week after integration period. - Positive daily support and caring management. - Regular training to promote skills development</x:v>
      </x:c>
      <x:c r="E71" s="5" t="str">
        <x:v>31500.0</x:v>
      </x:c>
      <x:c r="F71" s="5" t="str">
        <x:v>d8ed1703-9c03-4ea0-83cc-b6169bc54ffd</x:v>
      </x:c>
      <x:c r="G71" s="7" t="str">
        <x:v>["manage payroll", "operate cash register", "provide high quality customer service", "provide legal advice"]</x:v>
      </x:c>
      <x:c r="H71" s="7" t="str">
        <x:v>[]</x:v>
      </x:c>
      <x:c r="I71" s="7" t="str">
        <x:v>["provide high quality customer service"]</x:v>
      </x:c>
      <x:c r="J71" s="7" t="str">
        <x:v>[]</x:v>
      </x:c>
      <x:c r="K71" s="7" t="str">
        <x:v>[]</x:v>
      </x:c>
      <x:c r="L71" s="7" t="str">
        <x:v>[]</x:v>
      </x:c>
      <x:c r="M71" s="7" t="str">
        <x:v>[]</x:v>
      </x:c>
      <x:c r="N71" s="7" t="str">
        <x:v>[]</x:v>
      </x:c>
      <x:c r="O71" s="7" t="str">
        <x:v>[]</x:v>
      </x:c>
      <x:c r="P71" s="7" t="str">
        <x:v>["customer_interaction"]</x:v>
      </x:c>
      <x:c r="Q71" s="8" t="str">
        <x:v>no</x:v>
      </x:c>
      <x:c r="R71" s="8" t="str">
        <x:v>yes</x:v>
      </x:c>
      <x:c r="S71" s="8" t="str">
        <x:v>yes</x:v>
      </x:c>
      <x:c r="T71" s="7" t="str">
        <x:v>Reviewed against title, duties, mapped skills and detection sources.</x:v>
      </x:c>
    </x:row>
    <x:row r="72">
      <x:c r="A72" s="5" t="str">
        <x:v>soft_only</x:v>
      </x:c>
      <x:c r="B72" s="5" t="str">
        <x:v>52075527</x:v>
      </x:c>
      <x:c r="C72" s="7" t="str">
        <x:v>Program manager (M/F)</x:v>
      </x:c>
      <x:c r="D72" s="7" t="str">
        <x:v>Job description: As part of its development, our client, an independent real estate developer on a human scale, is recruiting a Confirmed Program Manager. You will integrate an agile structure, driven by a qualitative vision of projects and strong growth ambitions, offering real autonomy and prospects for development. As a true conductor of operations, you are responsible for the overall management of real estate programs, from the assembly phase to delivery. Setup and development of operations***Manage technical, legal, financial and commercial feasibility studies * Participate in the optimization of projects (products, costs, deadlines, quality) * Coordinate external stakeholders (architects, design offices, consultancies, communities) * Contribute to obtaining administrative authorizations (PC, appeal, etc.) Operational management***Ensure project management of operations in compliance with budgets, deadlines and quality requirements * Monitor the design, launch of works and the construction phase * Lead the project management teams and companies * Manage the technical, financial and legal hazards of the projects Financial and legal monitoring *** Develop and monitor financial statements * Secure contractual arrangements (markets, VEFA, various contracts) * Guarantee the profitability and regulatory compliance of operations Delivery and closing *** Supervise the delivery of programs and the lifting of reserves * Ensure the transfer to the after-sales service teams * Carry out end-of-operation assessments and returns of experience Description of profile: Training***Higher training in real estate, town planning, building, engineering or equivalent (Bac +4/5) Experience***Proven experience (minimum 5-7 years) in real estate development in similar functions * Mastery of piloting real estate operations independently Key skills***Strong technical, financial and legal skills * Ability to manage several operations simultaneously * Comfort in coordinating multiple stakeholders * Strong culture of results and respect for commitments Personal qualities***Autonomy and sense of responsibility * Entrepreneurial spirit and proactivity * Rigor, organization and capacity for anticipation * Excellent interpersonal skills and sense of teamwork * Taste for agile and developing environments</x:v>
      </x:c>
      <x:c r="E72" s="5" t="str">
        <x:v>57500.0</x:v>
      </x:c>
      <x:c r="F72" s="5" t="str">
        <x:v>b9711647-463f-4991-a858-d5de66ff2f83</x:v>
      </x:c>
      <x:c r="G72" s="7" t="str">
        <x:v>["Agile development", "build team spirit", "create 3D environments", "financial statements", "manage budgets", "manage publicly traded companies", "meet deadlines", "operational research", "show entrepreneurial spirit", "strive for company growth"]</x:v>
      </x:c>
      <x:c r="H72" s="7" t="str">
        <x:v>[]</x:v>
      </x:c>
      <x:c r="I72" s="7" t="str">
        <x:v>["meet deadlines"]</x:v>
      </x:c>
      <x:c r="J72" s="7" t="str">
        <x:v>[]</x:v>
      </x:c>
      <x:c r="K72" s="7" t="str">
        <x:v>[]</x:v>
      </x:c>
      <x:c r="L72" s="7" t="str">
        <x:v>[]</x:v>
      </x:c>
      <x:c r="M72" s="7" t="str">
        <x:v>[]</x:v>
      </x:c>
      <x:c r="N72" s="7" t="str">
        <x:v>[]</x:v>
      </x:c>
      <x:c r="O72" s="7" t="str">
        <x:v>[]</x:v>
      </x:c>
      <x:c r="P72" s="7" t="str">
        <x:v>["initiative_responsibility"]</x:v>
      </x:c>
      <x:c r="Q72" s="8" t="str">
        <x:v>no</x:v>
      </x:c>
      <x:c r="R72" s="8" t="str">
        <x:v>yes</x:v>
      </x:c>
      <x:c r="S72" s="8" t="str">
        <x:v>yes</x:v>
      </x:c>
      <x:c r="T72" s="7" t="str">
        <x:v>Reviewed against title, duties, mapped skills and detection sources.</x:v>
      </x:c>
    </x:row>
    <x:row r="73">
      <x:c r="A73" s="5" t="str">
        <x:v>soft_only</x:v>
      </x:c>
      <x:c r="B73" s="5" t="str">
        <x:v>SOFTY_PE_V2_176369_LOC_0</x:v>
      </x:c>
      <x:c r="C73" s="7" t="str">
        <x:v>FORMATEUR COMMERCE NÉGOCIATEUR TECHNICO COMMERCIAL - H/F</x:v>
      </x:c>
      <x:c r="D73" s="7" t="str">
        <x:v>Description: The commerce trainer supports adults wishing to develop their skills or retrain for careers in commerce and sales. It provides training on topics such as customer relations, sales techniques, point of sale management, merchandising and commercial negotiation. He adapts his teaching methods to the needs of learners, combining theory and practical situations. Its role also includes the evaluation of acquired knowledge and support towards integration or professional development. Profile sought: SKILLS AND KNOW-HOW: * Mastery of sales techniques, customer relations and commercial management. * Knowledge of digital tools * Ability to design educational materials and lead face-to-face training sessions. * Ability to assess skills and support learners in their progress. QUALITIES REQUIRED: * Pedagogy and ability to adapt to different learner profiles. * Excellent communication and group facilitation skills. * Spirit of listening and kindness to promote learning. * Organization and rigor in monitoring learners. EXPERIENCE AND TRAINING: * Significant experience in the field of commerce (Technico Commercial Negotiator). * Certification in professional training (e.g. title of professional adult trainer).</x:v>
      </x:c>
      <x:c r="E73" s="5" t="str">
        <x:v>25065.6</x:v>
      </x:c>
      <x:c r="F73" s="5" t="str">
        <x:v>a1e1a788-2352-4172-8fcf-1f985a6968b0</x:v>
      </x:c>
      <x:c r="G73" s="7" t="str">
        <x:v>["customer relationship management", "develop digital educational materials", "manage personal professional development", "negotiate sales contracts", "sales activities", "sales promotion techniques", "study sales levels of products"]</x:v>
      </x:c>
      <x:c r="H73" s="7" t="str">
        <x:v>[]</x:v>
      </x:c>
      <x:c r="I73" s="7" t="str">
        <x:v>["customer relationship management", "negotiate sales contracts"]</x:v>
      </x:c>
      <x:c r="J73" s="7" t="str">
        <x:v>[]</x:v>
      </x:c>
      <x:c r="K73" s="7" t="str">
        <x:v>[]</x:v>
      </x:c>
      <x:c r="L73" s="7" t="str">
        <x:v>[]</x:v>
      </x:c>
      <x:c r="M73" s="7" t="str">
        <x:v>[]</x:v>
      </x:c>
      <x:c r="N73" s="7" t="str">
        <x:v>[]</x:v>
      </x:c>
      <x:c r="O73" s="7" t="str">
        <x:v>[]</x:v>
      </x:c>
      <x:c r="P73" s="7" t="str">
        <x:v>["communication", "customer_interaction"]</x:v>
      </x:c>
      <x:c r="Q73" s="8" t="str">
        <x:v>no</x:v>
      </x:c>
      <x:c r="R73" s="8" t="str">
        <x:v>yes</x:v>
      </x:c>
      <x:c r="S73" s="8" t="str">
        <x:v>yes</x:v>
      </x:c>
      <x:c r="T73" s="7" t="str">
        <x:v>Reviewed against title, duties, mapped skills and detection sources.</x:v>
      </x:c>
    </x:row>
    <x:row r="74">
      <x:c r="A74" s="5" t="str">
        <x:v>soft_only</x:v>
      </x:c>
      <x:c r="B74" s="5" t="str">
        <x:v>202CWTN</x:v>
      </x:c>
      <x:c r="C74" s="7" t="str">
        <x:v>State Qualified Nurse (M/F)</x:v>
      </x:c>
      <x:c r="D74" s="7" t="str">
        <x:v>JOIN US and TOGETHER, LET’S PROMOTE AUTONOMY! The IRSAM Association is recruiting within its establishment IDV LES PRIMEVERES Nurse D.E (M/F) Permanent contract - 70% Based in LYON 9th Where will you work? The “La Parenthese” respite system is attached to the IDV Les Primevères. It welcomes children with Autism Spectrum Disorders (ASD), with associated disorders. Who are we ? The IRSAM Association, a major player in sensory deficiency, brings together 31 establishments in mainland France and on Reunion Island in the medico-social sector. www.irsam.fr Who do we support? 2,400 children and adults with sensory impairments, intellectual disabilities, autism spectrum disorders, learning disabilities associated with multiple disabilities. What are our values? Respect for the person, autonomy, responsibility, solidarity and fairness. Your missions - Collect clinical data, needs and expectations of the person - Carry out nursing care and monitor the state of health of the people - Transmit to the teams the information useful for care - Ensure the well-being of the people - Contribute to the learning of autonomy in relation to pathologies - Accompany the children in activities, in conjunction with the educational teams. - Coordination of care and links with families Your Profile - State IDE diploma required with two years of experience appreciated - Good knowledge of autism spectrum disorders, neurodevelopmental disorders, and structured education appreciated, - Ability to analyze synthesis in writing - Ability to work in a multidisciplinary team, (educators, medical-psycho-social professionals) - Mastery of computer tools - Knowledge of the disability sector and deafness and neurodevelopmental disorders (ASD, ADD, ADHD, DID.). This position is accessible to people recognized as disabled workers. Remuneration/Benefits according to Collective Agreement CCN 66 Annualized schedules Conventional leave according to the Mutual annex</x:v>
      </x:c>
      <x:c r="E74" s="5" t="str">
        <x:v>18072.0</x:v>
      </x:c>
      <x:c r="F74" s="5" t="str">
        <x:v>8d3e8aaa-791b-4c75-a465-f3f827028f50</x:v>
      </x:c>
      <x:c r="G74" s="7" t="str">
        <x:v>["assume responsibility", "autism", "learning difficulties", "patient autonomy"]</x:v>
      </x:c>
      <x:c r="H74" s="7" t="str">
        <x:v>[]</x:v>
      </x:c>
      <x:c r="I74" s="7" t="str">
        <x:v>["assume responsibility"]</x:v>
      </x:c>
      <x:c r="J74" s="7" t="str">
        <x:v>[]</x:v>
      </x:c>
      <x:c r="K74" s="7" t="str">
        <x:v>[]</x:v>
      </x:c>
      <x:c r="L74" s="7" t="str">
        <x:v>[]</x:v>
      </x:c>
      <x:c r="M74" s="7" t="str">
        <x:v>[]</x:v>
      </x:c>
      <x:c r="N74" s="7" t="str">
        <x:v>[]</x:v>
      </x:c>
      <x:c r="O74" s="7" t="str">
        <x:v>[]</x:v>
      </x:c>
      <x:c r="P74" s="7" t="str">
        <x:v>["initiative_responsibility"]</x:v>
      </x:c>
      <x:c r="Q74" s="8" t="str">
        <x:v>no</x:v>
      </x:c>
      <x:c r="R74" s="8" t="str">
        <x:v>yes</x:v>
      </x:c>
      <x:c r="S74" s="8" t="str">
        <x:v>yes</x:v>
      </x:c>
      <x:c r="T74" s="7" t="str">
        <x:v>Reviewed against title, duties, mapped skills and detection sources.</x:v>
      </x:c>
    </x:row>
    <x:row r="75">
      <x:c r="A75" s="5" t="str">
        <x:v>soft_only</x:v>
      </x:c>
      <x:c r="B75" s="5" t="str">
        <x:v>27846237</x:v>
      </x:c>
      <x:c r="C75" s="7" t="str">
        <x:v>Traveling Hairdresser/Hairdresser M/F</x:v>
      </x:c>
      <x:c r="D75" s="7" t="str">
        <x:v>With Upercut, find the job that really suits you! Are you looking for an opportunity that highlights your talent? Upercut connects you to the best offers and supports you every step of the way. At Upercut, we offer you: - Targeted offers adapted to your profile - Personalized support with a dedicated career manager - Privileged access to companies that are actively recruiting - A simple and quick process to find the right position Recruitment process Apply for an offer, speak with an Upercut expert, then meet the employer who suits you. Our mission: to help you find the project that inspires you. Apply now and advance your career with Upercut. Mission We are recruiting a traveling hairdresser to work in our salons, and work in a rewarding professional environment, focused on quality and know-how. Versatile and driven by passion for the profession, you excel in all cutting styles and master a wide range of professional techniques. With good interpersonal skills, you are an ambassador for our brand, adopting our codes and our methods, and have a sense of customer service (listening, availability and kindness). With us, become an expert thanks to: - A complete integration path - Tailor-made training - Mobility opportunities - Career development opportunities within our Provalliance group. By joining us, we promise you: - Attractive bonuses - Flexible hours and the possibility of working over 4 days - Restaurant vouchers - Access to a benefits platform (preferential rates for cinema tickets, amusement parks) - Attractive offers from our partners - Strong corporate values: Passion, Trust, Creativity and Commitment Our company is committed to the development of an inclusive environment and encourages applications from people with disabilities. Offer number: 2026010235AAA Profile sought Diploma: CAP Experience: 1 year minimum You are a beginner or have at least 1 year of experience and want to launch your career. You master the following techniques: Curls, Brushing, Ombré hair, Women, Styling, Short hair, Long hair, Scissor cut, Color, Layers, Sculpted cut, Permanent, Balayage / highlights, Hair contouring, Men, Smoothing, Vegetable coloring. Do you recognize yourself in this description? So join us and start a new adventure. The position is to be filled as soon as possible. Languages ​​- French: Bilingual or native language (Required for this position) Contractual information You will benefit from - A permanent contract of 35 hours / week - You will have a Worker status - You will receive a fixed monthly salary of 1,820-2,100 Recruitment process - No trial, the trial period is for that</x:v>
      </x:c>
      <x:c r="E75" s="5" t="str">
        <x:v>25800.0</x:v>
      </x:c>
      <x:c r="F75" s="5" t="str">
        <x:v>099c6bb0-22d3-4c5d-8bf5-70910af381ef</x:v>
      </x:c>
      <x:c r="G75" s="7" t="str">
        <x:v>["communicate with customers", "develop creative ideas"]</x:v>
      </x:c>
      <x:c r="H75" s="7" t="str">
        <x:v>[]</x:v>
      </x:c>
      <x:c r="I75" s="7" t="str">
        <x:v>["communicate with customers", "develop creative ideas"]</x:v>
      </x:c>
      <x:c r="J75" s="7" t="str">
        <x:v>[]</x:v>
      </x:c>
      <x:c r="K75" s="7" t="str">
        <x:v>[]</x:v>
      </x:c>
      <x:c r="L75" s="7" t="str">
        <x:v>[]</x:v>
      </x:c>
      <x:c r="M75" s="7" t="str">
        <x:v>[]</x:v>
      </x:c>
      <x:c r="N75" s="7" t="str">
        <x:v>[]</x:v>
      </x:c>
      <x:c r="O75" s="7" t="str">
        <x:v>[]</x:v>
      </x:c>
      <x:c r="P75" s="7" t="str">
        <x:v>["communication", "creativity", "customer_interaction"]</x:v>
      </x:c>
      <x:c r="Q75" s="8" t="str">
        <x:v>no</x:v>
      </x:c>
      <x:c r="R75" s="8" t="str">
        <x:v>yes</x:v>
      </x:c>
      <x:c r="S75" s="8" t="str">
        <x:v>yes</x:v>
      </x:c>
      <x:c r="T75" s="7" t="str">
        <x:v>Reviewed against title, duties, mapped skills and detection sources.</x:v>
      </x:c>
    </x:row>
    <x:row r="76">
      <x:c r="A76" s="5" t="str">
        <x:v>soft_only</x:v>
      </x:c>
      <x:c r="B76" s="5" t="str">
        <x:v>9279747</x:v>
      </x:c>
      <x:c r="C76" s="7" t="str">
        <x:v>Co-ownership accountant (M/F)</x:v>
      </x:c>
      <x:c r="D76" s="7" t="str">
        <x:v>Job Description: Co-ownership Accountant (M/F) - Unique Opportunity within an Innovative Real Estate Agency Company Description: Our leading recruitment firm is partnering with an innovative real estate agency looking for a Co-ownership Accountant (M/F) to strengthen its financial team. This agency, recognized for its avant-garde vision and commitment to excellence, offers an exceptional opportunity for a seasoned condominium accounting professional. Key Responsibilities: As a Condominium Accountant, you will lead the strategic financial management of the condominiums under the responsibility of our partner agency. Your responsibilities will include supervising the co-ownership accounting team and ensuring the quality of financial operations. * Develop detailed financial reports and analyzes for management. * Collaborate with external auditors and ensure regulatory compliance. * Implement continuous improvement processes to optimize financial efficiency. Profile sought: We are looking for a seasoned accounting professional who has the following qualifications Diploma in accounting, finance or a related field. * Significant experience in condominium accounting, ideally in the real estate industry. * In-depth understanding of accounting standards and real estate regulations. * Demonstrated leadership and ability to motivate a team. * Excellent analytical skills and ability to make informed decisions. Company Benefits: Join a real estate agency at the forefront of innovation, offering a stimulating work environment and opportunities for professional growth. As a Condominium Accountant, you will benefit from competitive advantages and actively contribute to shaping the company's financial strategy.</x:v>
      </x:c>
      <x:c r="E76" s="5" t="str">
        <x:v>40000.0</x:v>
      </x:c>
      <x:c r="F76" s="5" t="str">
        <x:v>eda0d957-3c3c-4139-b89a-a18bc9e18897</x:v>
      </x:c>
      <x:c r="G76" s="7" t="str">
        <x:v>["meet commitments", "motivate in sports", "optimise financial performance", "supervise accounting operations"]</x:v>
      </x:c>
      <x:c r="H76" s="7" t="str">
        <x:v>[]</x:v>
      </x:c>
      <x:c r="I76" s="7" t="str">
        <x:v>["meet commitments"]</x:v>
      </x:c>
      <x:c r="J76" s="7" t="str">
        <x:v>[]</x:v>
      </x:c>
      <x:c r="K76" s="7" t="str">
        <x:v>[]</x:v>
      </x:c>
      <x:c r="L76" s="7" t="str">
        <x:v>[]</x:v>
      </x:c>
      <x:c r="M76" s="7" t="str">
        <x:v>[]</x:v>
      </x:c>
      <x:c r="N76" s="7" t="str">
        <x:v>[]</x:v>
      </x:c>
      <x:c r="O76" s="7" t="str">
        <x:v>[]</x:v>
      </x:c>
      <x:c r="P76" s="7" t="str">
        <x:v>["initiative_responsibility"]</x:v>
      </x:c>
      <x:c r="Q76" s="8" t="str">
        <x:v>no</x:v>
      </x:c>
      <x:c r="R76" s="8" t="str">
        <x:v>yes</x:v>
      </x:c>
      <x:c r="S76" s="8" t="str">
        <x:v>yes</x:v>
      </x:c>
      <x:c r="T76" s="7" t="str">
        <x:v>Reviewed against title, duties, mapped skills and detection sources.</x:v>
      </x:c>
    </x:row>
    <x:row r="77">
      <x:c r="A77" s="5" t="str">
        <x:v>soft_only</x:v>
      </x:c>
      <x:c r="B77" s="5" t="str">
        <x:v>73/89841/82504</x:v>
      </x:c>
      <x:c r="C77" s="7" t="str">
        <x:v>INGENIEUR INTEGRATION MECANIQUE (H/F)</x:v>
      </x:c>
      <x:c r="D77" s="7" t="str">
        <x:v>WHO ARE WE ? ARIAL Industries, created in 2001, is a fast-growing engineering and technical assistance company in the mechanical, electrical and embedded systems sectors. We operate on a national and European level for large-scale programs with major accounts in the aeronautics, automotive, space, energy and defense sectors. OUR VALUES? Our HR policy is built around a key word, People. We want to promote a sense of service and responsiveness, listening and recognition. OUR OPPORTUNITIES / MISSIONS As part of our projects in the aeronautics sector, we are looking for a Mechanical and Hydraulic Integration Engineer (M/F) to be in charge of integration studies on helicopters of engines and/or related systems (fuel, hydraulics, air inlets and nozzles, controls, monitoring, performance). The position is to be filled from Vitrolles/Marignane. The proposed missions: - Monitoring the integration of systems (specification, PDR/CDR maturity reviews, qualification), - Supplier management, monitoring of the various Design Offices on the systems studied (calculation, design, etc.), - Analyzes and proposals for technical solutions, - Requests and monitoring of tests, - Technical support. - PROFILE WANTED Trained as a Mechanical Engineer, you have at least 5 years of experience in a similar position, ideally in the aeronautical sector (helicopters). You have knowledge of engines (ideally aeronautical turbomachines), hydraulic, thermal, thermodynamic systems, maturity reviews and aeronautical regulations. We are looking for dynamic, proactive profiles with good writing skills. English (written/spoken) is required for this position. SALARY AND BENEFITS - Between 37K and 47K/gross per year depending on profile, - Permanent contract, - You benefit from 50% of company mutual insurance coverage, 100% for welfare, - Co-optation bonus, vacation bonuses and other bonuses - Meal baskets per month, - RTT, - Participate in our events and meet all our Arial Industries teams, - Benefits platform (cinema, culture, games, multimedia, gift vouchers, etc.). - YOUR OPPORTUNITIES AT ARIAL INDUSTRIES No limitation! Do you have professional goals? We will define them together and will be happy to help you achieve them. Your seriousness and motivation will open the doors to the missions that interest you. RECRUITMENT PROCESS - Step 1: Telephone point (5/10 minutes) with the recruitment manager - Step 2: Teams interview (30 minutes) with the recruitment manager - Step 3: Interview (1 hour) with the technical manager - Step 4: Integration within our teams We guarantee responsiveness and we make sure to share a response with you as quickly as possible! Hoping to have you among us very soon. Ref: C73O89841</x:v>
      </x:c>
      <x:c r="E77" s="5" t="str">
        <x:v>42000.0</x:v>
      </x:c>
      <x:c r="F77" s="5" t="str">
        <x:v>afbe50b0-6634-4677-a3e7-0aada10cb9a7</x:v>
      </x:c>
      <x:c r="G77" s="7" t="str">
        <x:v>["define integration strategy", "embedded systems", "follow industry codes of practice for aviation safety", "organise participation in local or international events", "provide multimedia content", "solve technical problems", "supplier management", "thermodynamics"]</x:v>
      </x:c>
      <x:c r="H77" s="7" t="str">
        <x:v>[]</x:v>
      </x:c>
      <x:c r="I77" s="7" t="str">
        <x:v>["solve technical problems"]</x:v>
      </x:c>
      <x:c r="J77" s="7" t="str">
        <x:v>[]</x:v>
      </x:c>
      <x:c r="K77" s="7" t="str">
        <x:v>[]</x:v>
      </x:c>
      <x:c r="L77" s="7" t="str">
        <x:v>[]</x:v>
      </x:c>
      <x:c r="M77" s="7" t="str">
        <x:v>[]</x:v>
      </x:c>
      <x:c r="N77" s="7" t="str">
        <x:v>[]</x:v>
      </x:c>
      <x:c r="O77" s="7" t="str">
        <x:v>[]</x:v>
      </x:c>
      <x:c r="P77" s="7" t="str">
        <x:v>["problem_solving"]</x:v>
      </x:c>
      <x:c r="Q77" s="8" t="str">
        <x:v>no</x:v>
      </x:c>
      <x:c r="R77" s="8" t="str">
        <x:v>yes</x:v>
      </x:c>
      <x:c r="S77" s="8" t="str">
        <x:v>yes</x:v>
      </x:c>
      <x:c r="T77" s="7" t="str">
        <x:v>Reviewed against title, duties, mapped skills and detection sources.</x:v>
      </x:c>
    </x:row>
    <x:row r="78">
      <x:c r="A78" s="5" t="str">
        <x:v>soft_only</x:v>
      </x:c>
      <x:c r="B78" s="5" t="str">
        <x:v>27817468</x:v>
      </x:c>
      <x:c r="C78" s="7" t="str">
        <x:v>Accounting Associate (M/F)</x:v>
      </x:c>
      <x:c r="D78" s="7" t="str">
        <x:v>We are looking for a Senior Accounting Associate M/F on behalf of an independent accounting firm located in Saumur (49). This firm is based on essential values, namely communication, proximity and well-being at work. Directly reporting to the Head of Mission, your main missions will be: - The complete management of a diversified portfolio - The establishment of tax packages - The preparation of balance sheets and the presentation of these balance sheets - Customer support &amp; advice - Possibility of adapting the position according to your skills and your prospects for development - Possible support to obtain the Chartered Accounting Diploma (DEC) In addition, this structure highlights various advantages: - Restaurant vouchers - Flexible and modular schedule - Bonuses - Team building You have a minimum of Bac +2 level training with a specialization in accounting, and ideally, you have 2 years of experience in a firm. You are recognized for your rigor, appreciate teamwork, and have excellent interpersonal skills and adaptability, necessary due to the diversity of the firm's clientele. If this position catches your attention, do not hesitate to send us your CV.</x:v>
      </x:c>
      <x:c r="E78" s="5" t="str">
        <x:v>35000.0</x:v>
      </x:c>
      <x:c r="F78" s="5" t="str">
        <x:v>1ad59946-d13e-441e-9b36-56e1df055e21</x:v>
      </x:c>
      <x:c r="G78" s="7" t="str">
        <x:v>["adapt to change"]</x:v>
      </x:c>
      <x:c r="H78" s="7" t="str">
        <x:v>[]</x:v>
      </x:c>
      <x:c r="I78" s="7" t="str">
        <x:v>["adapt to change"]</x:v>
      </x:c>
      <x:c r="J78" s="7" t="str">
        <x:v>[]</x:v>
      </x:c>
      <x:c r="K78" s="7" t="str">
        <x:v>[]</x:v>
      </x:c>
      <x:c r="L78" s="7" t="str">
        <x:v>[]</x:v>
      </x:c>
      <x:c r="M78" s="7" t="str">
        <x:v>[]</x:v>
      </x:c>
      <x:c r="N78" s="7" t="str">
        <x:v>[]</x:v>
      </x:c>
      <x:c r="O78" s="7" t="str">
        <x:v>[]</x:v>
      </x:c>
      <x:c r="P78" s="7" t="str">
        <x:v>["adaptability"]</x:v>
      </x:c>
      <x:c r="Q78" s="8" t="str">
        <x:v>no</x:v>
      </x:c>
      <x:c r="R78" s="8" t="str">
        <x:v>yes</x:v>
      </x:c>
      <x:c r="S78" s="8" t="str">
        <x:v>yes</x:v>
      </x:c>
      <x:c r="T78" s="7" t="str">
        <x:v>Reviewed against title, duties, mapped skills and detection sources.</x:v>
      </x:c>
    </x:row>
    <x:row r="79">
      <x:c r="A79" s="5" t="str">
        <x:v>soft_only</x:v>
      </x:c>
      <x:c r="B79" s="5" t="str">
        <x:v>4120154</x:v>
      </x:c>
      <x:c r="C79" s="7" t="str">
        <x:v>Dentist (M/F)</x:v>
      </x:c>
      <x:c r="D79" s="7" t="str">
        <x:v>Dentist job Paris 75008 / La Solution Médicale Dental Center in Paris 8th, looking for experienced dental surgeons (M/F) This center already has a large patient base. We offer you a full-time or permanent position, a good career plan, and many benefits. Optimal working conditions and in new premises: - High-performance technical platform - Permanent employee status - On vacation or full-time - Qualified dental assistant for four-handed work - Medical secretary (no administrative tasks) - Completed schedule guaranteed - Remuneration for the service (percentage of turnover, paid leave and social benefits) Even more advantages by working with a competent and dedicated team serving patients, state-of-the-art equipment -Exceptional location close to transport amenities. This position is to be filled immediately. Do not hesitate to contact us for further information Qualities sought: Serious; Professionalism; Commitment; Constancy; Flexibility and attentive to the patient. Contact us directly for more information by phone or email. -Graduated and registered with the Council of the Order of Dental Surgeons in France. Qualities sought: Serious; Professionalism; Commitment; Constancy; Flexibility and attentive to the patient. Contact us directly for more information by phone or email.</x:v>
      </x:c>
      <x:c r="E79" s="5" t="str">
        <x:v>130000.0</x:v>
      </x:c>
      <x:c r="F79" s="5" t="str">
        <x:v>e52b5707-7097-4dbc-ac61-054e917da241</x:v>
      </x:c>
      <x:c r="G79" s="7" t="str">
        <x:v>["meet commitments"]</x:v>
      </x:c>
      <x:c r="H79" s="7" t="str">
        <x:v>[]</x:v>
      </x:c>
      <x:c r="I79" s="7" t="str">
        <x:v>["meet commitments"]</x:v>
      </x:c>
      <x:c r="J79" s="7" t="str">
        <x:v>[]</x:v>
      </x:c>
      <x:c r="K79" s="7" t="str">
        <x:v>[]</x:v>
      </x:c>
      <x:c r="L79" s="7" t="str">
        <x:v>[]</x:v>
      </x:c>
      <x:c r="M79" s="7" t="str">
        <x:v>[]</x:v>
      </x:c>
      <x:c r="N79" s="7" t="str">
        <x:v>[]</x:v>
      </x:c>
      <x:c r="O79" s="7" t="str">
        <x:v>[]</x:v>
      </x:c>
      <x:c r="P79" s="7" t="str">
        <x:v>["initiative_responsibility"]</x:v>
      </x:c>
      <x:c r="Q79" s="8" t="str">
        <x:v>no</x:v>
      </x:c>
      <x:c r="R79" s="8" t="str">
        <x:v>yes</x:v>
      </x:c>
      <x:c r="S79" s="8" t="str">
        <x:v>yes</x:v>
      </x:c>
      <x:c r="T79" s="7" t="str">
        <x:v>Reviewed against title, duties, mapped skills and detection sources.</x:v>
      </x:c>
    </x:row>
    <x:row r="80">
      <x:c r="A80" s="5" t="str">
        <x:v>soft_only</x:v>
      </x:c>
      <x:c r="B80" s="5" t="str">
        <x:v>203QHSB</x:v>
      </x:c>
      <x:c r="C80" s="7" t="str">
        <x:v>Educator of young children (M/F)</x:v>
      </x:c>
      <x:c r="D80" s="7" t="str">
        <x:v>La Maison Bleue is recruiting for the Farfadets crèche in Roquevaire Early Childhood Educator - M/F Roquevaire (13360) / Crèche with 40 cradles Since 2004, the La Maison Bleue Group has supported businesses and communities. and especially families, thanks to a network of 400 nurseries throughout France and 1,500 partner nurseries. Every day, 5,000 professionals welcome 15,000 children with an innovative educational project common to all our structures. What if the next step in your career happened with us? Your daily mission Joining our daycare in Roquevaire means joining a passionate team that places the well-being of children and the trust of parents at the heart of its priorities. As an Early Childhood Educator, you: Welcome children with respect and kindness, Ensure their emotional and physical safety, Participate in their development through adapted early learning activities, Support families and promote team cohesion, May be required to take over from the director in his absence, particularly for team leadership and relationships with families, Share your talents and passions (music, languages, nature, sensory awakening.). With us, beyond diplomas, we value your personality and what you want to bring to the team! Profile sought State Diploma in Early Childhood Educator required. A great sense of listening and creativity. and the desire to get involved in a great human adventure. What we offer you - Fixed salary + recurring bonuses depending on experience (35 hours/week) - Hours from Monday to Friday - Specific bonuses (recruitment, attractiveness.) - Additional leave from 4 months of presence - Premium mutual insurance (93% coverage) - Assistance with mobility and moving - Parenting support &amp; social support - Monthly well-being moments - Continuing training At La Maison Bleue, taking care of yourself also means take care of children.</x:v>
      </x:c>
      <x:c r="E80" s="5" t="str">
        <x:v>26460.0</x:v>
      </x:c>
      <x:c r="F80" s="5" t="str">
        <x:v>3413f234-6230-47a8-8cc7-2691fd54ce3a</x:v>
      </x:c>
      <x:c r="G80" s="7" t="str">
        <x:v>["adhere to health well-being and safety", "develop creative ideas", "lead a team", "maintain relations with children's parents"]</x:v>
      </x:c>
      <x:c r="H80" s="7" t="str">
        <x:v>[]</x:v>
      </x:c>
      <x:c r="I80" s="7" t="str">
        <x:v>["develop creative ideas", "lead a team"]</x:v>
      </x:c>
      <x:c r="J80" s="7" t="str">
        <x:v>[]</x:v>
      </x:c>
      <x:c r="K80" s="7" t="str">
        <x:v>[]</x:v>
      </x:c>
      <x:c r="L80" s="7" t="str">
        <x:v>[]</x:v>
      </x:c>
      <x:c r="M80" s="7" t="str">
        <x:v>[]</x:v>
      </x:c>
      <x:c r="N80" s="7" t="str">
        <x:v>[]</x:v>
      </x:c>
      <x:c r="O80" s="7" t="str">
        <x:v>[]</x:v>
      </x:c>
      <x:c r="P80" s="7" t="str">
        <x:v>["creativity", "leadership"]</x:v>
      </x:c>
      <x:c r="Q80" s="8" t="str">
        <x:v>no</x:v>
      </x:c>
      <x:c r="R80" s="8" t="str">
        <x:v>yes</x:v>
      </x:c>
      <x:c r="S80" s="8" t="str">
        <x:v>yes</x:v>
      </x:c>
      <x:c r="T80" s="7" t="str">
        <x:v>Reviewed against title, duties, mapped skills and detection sources.</x:v>
      </x:c>
    </x:row>
    <x:row r="81">
      <x:c r="A81" s="5" t="str">
        <x:v>soft_only</x:v>
      </x:c>
      <x:c r="B81" s="5" t="str">
        <x:v>27837712</x:v>
      </x:c>
      <x:c r="C81" s="7" t="str">
        <x:v>HEATING ENGINEER Team Leader future Manager M/F</x:v>
      </x:c>
      <x:c r="D81" s="7" t="str">
        <x:v>As part of our growth, we are looking for future manager team leaders at the CHALON SUR SAONE agency - After a personalized integration course, you learn our professions as a team leader: you anticipate, organize, control a small team of itinerant maintenance technicians with real mobilizing talent to achieve objectives. - Our ambition: to help you progress quickly, to support you in taking responsibility in order to become one of our future operations managers. We will take you towards more extensive management functions in the medium/long term. You gradually move away from the field to become the real boss of your operational unit. Your mission: you will be integrated into one of our operational agencies, immersed in the field. This structuring course will allow you to: Discover and master the operational fundamentals of our professions (technical interventions, customer relations, organization of activity, etc.) Understand the economic and human issues, Support field teams in carrying out their missions. Participate in cross-functional projects related to continuous improvement, customer satisfaction and performance. Prepare for taking on future responsibilities, by being coached by an experienced Manager and HR teams. You have a Bac +2 to Bac +5 degree, with a specialization in management, management, technology or construction. You have a first professional experience, ideally in a technical, field or managerial environment. You are curious, involved and have excellent interpersonal skills. Your ability to unite, your analytical mind and your desire to evolve are your main assets. You are looking for a real professional springboard in a company that values ​​taking initiative and individual progression.</x:v>
      </x:c>
      <x:c r="E81" s="5" t="str">
        <x:v>32500.0</x:v>
      </x:c>
      <x:c r="F81" s="5" t="str">
        <x:v>7259dc48-004a-4ceb-aa4e-5bbd548c2397</x:v>
      </x:c>
      <x:c r="G81" s="7" t="str">
        <x:v>["customer relationship management", "satisfy customers"]</x:v>
      </x:c>
      <x:c r="H81" s="7" t="str">
        <x:v>[]</x:v>
      </x:c>
      <x:c r="I81" s="7" t="str">
        <x:v>["customer relationship management", "satisfy customers"]</x:v>
      </x:c>
      <x:c r="J81" s="7" t="str">
        <x:v>[]</x:v>
      </x:c>
      <x:c r="K81" s="7" t="str">
        <x:v>[]</x:v>
      </x:c>
      <x:c r="L81" s="7" t="str">
        <x:v>[]</x:v>
      </x:c>
      <x:c r="M81" s="7" t="str">
        <x:v>[]</x:v>
      </x:c>
      <x:c r="N81" s="7" t="str">
        <x:v>[]</x:v>
      </x:c>
      <x:c r="O81" s="7" t="str">
        <x:v>[]</x:v>
      </x:c>
      <x:c r="P81" s="7" t="str">
        <x:v>["customer_interaction"]</x:v>
      </x:c>
      <x:c r="Q81" s="8" t="str">
        <x:v>no</x:v>
      </x:c>
      <x:c r="R81" s="8" t="str">
        <x:v>yes</x:v>
      </x:c>
      <x:c r="S81" s="8" t="str">
        <x:v>yes</x:v>
      </x:c>
      <x:c r="T81" s="7" t="str">
        <x:v>Reviewed against title, duties, mapped skills and detection sources.</x:v>
      </x:c>
    </x:row>
    <x:row r="82">
      <x:c r="A82" s="5" t="str">
        <x:v>soft_only</x:v>
      </x:c>
      <x:c r="B82" s="5" t="str">
        <x:v>202JKLQ</x:v>
      </x:c>
      <x:c r="C82" s="7" t="str">
        <x:v>Inventoriste F/H</x:v>
      </x:c>
      <x:c r="D82" s="7" t="str">
        <x:v>For our client, we are looking for an economical steward F/HA to ensure the material management, logistics and monitoring of stocks of the CFA in order to guarantee the continuity of educational and operational activities, in compliance with the rules of hygiene, safety and internal procedures. MISSIONS AND RESPONSIBILITIES 1. Management of orders, receipts and stocks - Collect the teams' weekly needs and place orders after validation - Receive deliveries and check their conformity (quantities, quality, documents) - Report any non-compliance or anomaly to the managers concerned - Store goods in dedicated spaces while respecting hygiene and safety rules - Record and monitor stock movements (entries, exits, known and unknown losses) via register or digital tool - Ensure the traceability of products and compliance with associated instructions - Anticipate replenishment needs - Carry out monthly inventories and analyze any discrepancies noted 2. Logistics and daily management - Prepare material releases for the various stakeholders and ensure stock monitoring - Ensure the maintenance and keeping in order of the following premises: ? Commissary? Maintenance room? Laundry room? Exterior areas - Restock consumable products in the kitchen - Participate in selective sorting and waste management - Remove waste and packaging from the commissary - Ensure the general good condition of common areas: ? Staff entrance? Locker rooms? Sanitary? Laundry room? Store 3. Management of the first equipment for apprentices - Manage orders for the first equipment for apprentices, from reception to distribution - Check the conformity of the products delivered - Maintain the register of delivery of equipment by apprentice - Ensure the follow-up of supplies and report missing items or anomalies REQUIRED SKILLS Technical knowledge / skills - Knowledge of the principles of stock management - Mastery of hygiene and safety rules - Use IT and monitoring tools (tables, management software) Soft skills - Rigor and sense of organization - Autonomy and reliability - Responsiveness and sense of priorities - Team spirit and good interpersonal skills - Respect for procedures and confidentialityYour benefits Synergy: +10% IFM + 10% CP, CSE Synergy, Participation Bonus + CET at 6%, Aid and Services (Mutual - Housing - Childcare, etc.)</x:v>
      </x:c>
      <x:c r="E82" s="5" t="str">
        <x:v>23438.5</x:v>
      </x:c>
      <x:c r="F82" s="5" t="str">
        <x:v>d5eb6150-bbff-4a9c-9d0c-21eab4dbe2b6</x:v>
      </x:c>
      <x:c r="G82" s="7" t="str">
        <x:v>["communicate with stakeholders", "coordinate operational activities", "develop waste management processes", "hygiene in a health care setting", "logistics", "order equipment", "promote health and safety"]</x:v>
      </x:c>
      <x:c r="H82" s="7" t="str">
        <x:v>[]</x:v>
      </x:c>
      <x:c r="I82" s="7" t="str">
        <x:v>["communicate with stakeholders"]</x:v>
      </x:c>
      <x:c r="J82" s="7" t="str">
        <x:v>[]</x:v>
      </x:c>
      <x:c r="K82" s="7" t="str">
        <x:v>[]</x:v>
      </x:c>
      <x:c r="L82" s="7" t="str">
        <x:v>[]</x:v>
      </x:c>
      <x:c r="M82" s="7" t="str">
        <x:v>[]</x:v>
      </x:c>
      <x:c r="N82" s="7" t="str">
        <x:v>[]</x:v>
      </x:c>
      <x:c r="O82" s="7" t="str">
        <x:v>[]</x:v>
      </x:c>
      <x:c r="P82" s="7" t="str">
        <x:v>["communication"]</x:v>
      </x:c>
      <x:c r="Q82" s="8" t="str">
        <x:v>no</x:v>
      </x:c>
      <x:c r="R82" s="8" t="str">
        <x:v>yes</x:v>
      </x:c>
      <x:c r="S82" s="8" t="str">
        <x:v>yes</x:v>
      </x:c>
      <x:c r="T82" s="7" t="str">
        <x:v>Reviewed against title, duties, mapped skills and detection sources.</x:v>
      </x:c>
    </x:row>
    <x:row r="83">
      <x:c r="A83" s="5" t="str">
        <x:v>soft_only</x:v>
      </x:c>
      <x:c r="B83" s="5" t="str">
        <x:v>9017579</x:v>
      </x:c>
      <x:c r="C83" s="7" t="str">
        <x:v>Buyer (M/F)</x:v>
      </x:c>
      <x:c r="D83" s="7" t="str">
        <x:v>Becoming a temporary worker at Start People means benefiting from numerous advantages: -A sponsorship bonus of €100 if you help one of your friends to be employed by Start People on a temporary, fixed-term or permanent basis -A profit-sharing bonus based on your hours worked -Training offers to help you improve your skills and progress in your career -A Social and Economic Committee which offers you numerous advantages for your family events, sporting activities, vacations, etc. -Support from the FASTT from the moment you 1st hour worked (housing, mobility, childcare, complementary health insurance, etc.) Our StartApp application makes your daily life as a temporary worker easier: your deposits, time records, certificates and other documents will be at your fingertips! About Start People Permanent contract, fixed-term contract or temporary contract, whatever the sector of activity, Start People supports you throughout your professional career. At Start People, we prioritize human relations and delegate 100,000 people each year. Our teams listen to your needs and are attentive to your constraints to offer you the most suitable mission with one of our 19,000 client companies. Thousands of job offers are online every day on our site startpeople.fr. POSITION: Purchasing Project Manager (M/F) Start People Pau is looking for a Purchasing Project Manager M/F for SAFRAN HE in Bordes. Under the direction of the Purchasing Project Coordinator, you will be responsible for applying the basics of project management: planning, cost and deadline monitoring, compliance with milestones. You will be in charge of the transversal and multidisciplinary animation of the batches of projects for which you will be responsible PROFILE: Bac + 5 As part of its Diversity policy, Start People studies all applications with equal skills, including those from people with disabilities. Are you interested in this mission? Go ahead and apply now! Our agency will get back to you by e-mail or telephone, then you will be able to speak with a recruitment manager, so that they can validate the suitability of your profile. We will then welcome you to the agency to give you security tests and finalize your registration.</x:v>
      </x:c>
      <x:c r="E83" s="5" t="str">
        <x:v>44000.0</x:v>
      </x:c>
      <x:c r="F83" s="5" t="str">
        <x:v>29fa406d-de89-4515-be8d-0fe7bda993f1</x:v>
      </x:c>
      <x:c r="G83" s="7" t="str">
        <x:v>["babysitting", "communicate by telephone", "complementary and alternative medicine", "mobility as a service", "project management"]</x:v>
      </x:c>
      <x:c r="H83" s="7" t="str">
        <x:v>[]</x:v>
      </x:c>
      <x:c r="I83" s="7" t="str">
        <x:v>["communicate by telephone"]</x:v>
      </x:c>
      <x:c r="J83" s="7" t="str">
        <x:v>[]</x:v>
      </x:c>
      <x:c r="K83" s="7" t="str">
        <x:v>[]</x:v>
      </x:c>
      <x:c r="L83" s="7" t="str">
        <x:v>[]</x:v>
      </x:c>
      <x:c r="M83" s="7" t="str">
        <x:v>[]</x:v>
      </x:c>
      <x:c r="N83" s="7" t="str">
        <x:v>[]</x:v>
      </x:c>
      <x:c r="O83" s="7" t="str">
        <x:v>[]</x:v>
      </x:c>
      <x:c r="P83" s="7" t="str">
        <x:v>["communication"]</x:v>
      </x:c>
      <x:c r="Q83" s="8" t="str">
        <x:v>no</x:v>
      </x:c>
      <x:c r="R83" s="8" t="str">
        <x:v>yes</x:v>
      </x:c>
      <x:c r="S83" s="8" t="str">
        <x:v>yes</x:v>
      </x:c>
      <x:c r="T83" s="7" t="str">
        <x:v>Reviewed against title, duties, mapped skills and detection sources.</x:v>
      </x:c>
    </x:row>
    <x:row r="84">
      <x:c r="A84" s="5" t="str">
        <x:v>soft_only</x:v>
      </x:c>
      <x:c r="B84" s="5" t="str">
        <x:v>27795990</x:v>
      </x:c>
      <x:c r="C84" s="7" t="str">
        <x:v>Sole accountant M/F</x:v>
      </x:c>
      <x:c r="D84" s="7" t="str">
        <x:v>Reporting to the Administrative and Financial Director, you will ensure general and analytical accounting while actively contributing to the quarterly budget reporting for all of the sheltered foundations. This position combines accounting rigor, budgetary analysis and close collaboration with management control. A great challenge for someone wishing to evolve in a stimulating environment and directly linked to impact projects. Your missions: Ensure the maintenance of general and analytical accounting, in connection with 34 entities (entry, reconciliations, cash flow, closings, etc.). Participate in the production of quarterly budget and cash flow reports, in conjunction with Management Control. Check the consistency of data between accounting and analytics, and participate in the development of financial dashboards. Implement and develop internal procedures, particularly regarding expenditure control and validation of commitments. Collaborate transversally, particularly with the work-study student, for the management of payments and supporting documents. Support the DAF in the preparation of files for the executive committees and boards of directors. Contribute to the reliability, traceability and regularity of financial data, essential to the proper functioning of foundations. What you need: At least 3 years of experience (excluding work-study programs) in similar functions, preferably in a multi-structure or associative environment. Proficiency in Excel and ideally knowledge of Sage. Mastery of analytical accounting and budget monitoring. An approach is service-oriented, with a good capacity to process a large volume of data. Rigorous, autonomous and you like to collaborate within a small, involved team. Want to contribute to an impactful mission in a human and engaged environment? Send us your application!</x:v>
      </x:c>
      <x:c r="E84" s="5" t="str">
        <x:v>35000.0</x:v>
      </x:c>
      <x:c r="F84" s="5" t="str">
        <x:v>eda0d957-3c3c-4139-b89a-a18bc9e18897</x:v>
      </x:c>
      <x:c r="G84" s="7" t="str">
        <x:v>["accounting", "accounting techniques", "budgetary principles", "control production", "exert expenditure control", "handle cash flow", "identify key processes of traceability systems ", "meet commitments", "process payments", "web analytics"]</x:v>
      </x:c>
      <x:c r="H84" s="7" t="str">
        <x:v>[]</x:v>
      </x:c>
      <x:c r="I84" s="7" t="str">
        <x:v>["meet commitments"]</x:v>
      </x:c>
      <x:c r="J84" s="7" t="str">
        <x:v>[]</x:v>
      </x:c>
      <x:c r="K84" s="7" t="str">
        <x:v>[]</x:v>
      </x:c>
      <x:c r="L84" s="7" t="str">
        <x:v>[]</x:v>
      </x:c>
      <x:c r="M84" s="7" t="str">
        <x:v>[]</x:v>
      </x:c>
      <x:c r="N84" s="7" t="str">
        <x:v>[]</x:v>
      </x:c>
      <x:c r="O84" s="7" t="str">
        <x:v>[]</x:v>
      </x:c>
      <x:c r="P84" s="7" t="str">
        <x:v>["initiative_responsibility"]</x:v>
      </x:c>
      <x:c r="Q84" s="8" t="str">
        <x:v>no</x:v>
      </x:c>
      <x:c r="R84" s="8" t="str">
        <x:v>yes</x:v>
      </x:c>
      <x:c r="S84" s="8" t="str">
        <x:v>yes</x:v>
      </x:c>
      <x:c r="T84" s="7" t="str">
        <x:v>Reviewed against title, duties, mapped skills and detection sources.</x:v>
      </x:c>
    </x:row>
    <x:row r="85">
      <x:c r="A85" s="5" t="str">
        <x:v>soft_only</x:v>
      </x:c>
      <x:c r="B85" s="5" t="str">
        <x:v>188327</x:v>
      </x:c>
      <x:c r="C85" s="7" t="str">
        <x:v>Pharmacy pharmacist (M/F)</x:v>
      </x:c>
      <x:c r="D85" s="7" t="str">
        <x:v>Position available for a Pharmacist (M/F) in a Community Pharmacy with a full-time fixed-term contract (35 hrs/week) located in ARLES (13200, Provence-Alpes-Côte d'Azur - France). Qualifications required Mandatory: State diploma of Doctor of Pharmacy Find out more: replacement of the pharmacy holder The main missions will be: - Dispense narcotics and keep the register up to date - Issue prescriptions, ensure their understanding and the absence of drug interactions, and provide associated advice - Have a listening and advisory role in order to promote the improvement or maintenance of people's state of health - Coordinate, supervise and manage a team - Ensure the daily management of the pharmacy - Strengthen the team during a period of leave and/or increased activity - Ensure the proper flow of information - Manage the cash register - Replace the owner of the pharmacy Are you interested in this offer? To apply, download the ClubOfficine app on Google Play and Apple Store https://onelink.to/clubofficine</x:v>
      </x:c>
      <x:c r="E85" s="5" t="str">
        <x:v>49824.0</x:v>
      </x:c>
      <x:c r="F85" s="5" t="str">
        <x:v>7c132147-428b-4ea3-87e1-70f7abb691ce</x:v>
      </x:c>
      <x:c r="G85" s="7" t="str">
        <x:v>["advise others", "supervise employees in food production plants"]</x:v>
      </x:c>
      <x:c r="H85" s="7" t="str">
        <x:v>[]</x:v>
      </x:c>
      <x:c r="I85" s="7" t="str">
        <x:v>["supervise employees in food production plants"]</x:v>
      </x:c>
      <x:c r="J85" s="7" t="str">
        <x:v>[]</x:v>
      </x:c>
      <x:c r="K85" s="7" t="str">
        <x:v>[]</x:v>
      </x:c>
      <x:c r="L85" s="7" t="str">
        <x:v>[]</x:v>
      </x:c>
      <x:c r="M85" s="7" t="str">
        <x:v>[]</x:v>
      </x:c>
      <x:c r="N85" s="7" t="str">
        <x:v>[]</x:v>
      </x:c>
      <x:c r="O85" s="7" t="str">
        <x:v>[]</x:v>
      </x:c>
      <x:c r="P85" s="7" t="str">
        <x:v>["leadership"]</x:v>
      </x:c>
      <x:c r="Q85" s="8" t="str">
        <x:v>no</x:v>
      </x:c>
      <x:c r="R85" s="8" t="str">
        <x:v>yes</x:v>
      </x:c>
      <x:c r="S85" s="8" t="str">
        <x:v>yes</x:v>
      </x:c>
      <x:c r="T85" s="7" t="str">
        <x:v>Reviewed against title, duties, mapped skills and detection sources.</x:v>
      </x:c>
    </x:row>
    <x:row r="86">
      <x:c r="A86" s="5" t="str">
        <x:v>soft_only</x:v>
      </x:c>
      <x:c r="B86" s="5" t="str">
        <x:v>27901933</x:v>
      </x:c>
      <x:c r="C86" s="7" t="str">
        <x:v>Quantity surveyor (M/F) on permanent contract</x:v>
      </x:c>
      <x:c r="D86" s="7" t="str">
        <x:v>KALIXENS RH, recruitment firm - Human, local, responsive: your career starts here. We are looking for a Quantity Surveyor (M/F) on a permanent contract, for an SME specializing in the manufacture and installation of verandas and pergolas. You will have to carry out the necessary calculations and measurements on the various sites. As such, your missions will be as follows: - Establish the technical and quantitative files necessary for manufacturing - Order the raw material while ensuring consistency between real needs, execution plans and construction deadlines - Ensure customer relations (individuals) - Collaborate with the workshop and the installation teams in order to guarantee the successful completion of the works - Ensure compliance with standards, costs and deadlines throughout the process - Carry out the technical studies necessary for the design of carpentry projects aluminum and take dimensions on site if necessary - Draw and model the verandas in AutoCAD - Carry out all calculations related to the works If you are interested in this position, do not hesitate to send your application to Marie, Solène, Violette and Jody without further delay. Know-how: - Must have mastery of Autocad software - Knowledge of TopSolid software would be a plus Soft skills: - You are rigorous and methodical - You are a communicative person - You have excellent interpersonal skills Training(s): You have a professional baccalaureate in aluminum carpentry or a BTS in building envelope. Experience(s): You have experience in the field of sheet metal/boilermaking or metalwork (or other fields). Experience in aluminum carpentry would be appreciated.</x:v>
      </x:c>
      <x:c r="E86" s="5" t="str">
        <x:v>30000.0</x:v>
      </x:c>
      <x:c r="F86" s="5" t="str">
        <x:v>d8e502b4-1be6-4d10-a224-151688f8f0c8</x:v>
      </x:c>
      <x:c r="G86" s="7" t="str">
        <x:v>["meet deadlines"]</x:v>
      </x:c>
      <x:c r="H86" s="7" t="str">
        <x:v>[]</x:v>
      </x:c>
      <x:c r="I86" s="7" t="str">
        <x:v>["meet deadlines"]</x:v>
      </x:c>
      <x:c r="J86" s="7" t="str">
        <x:v>[]</x:v>
      </x:c>
      <x:c r="K86" s="7" t="str">
        <x:v>[]</x:v>
      </x:c>
      <x:c r="L86" s="7" t="str">
        <x:v>[]</x:v>
      </x:c>
      <x:c r="M86" s="7" t="str">
        <x:v>[]</x:v>
      </x:c>
      <x:c r="N86" s="7" t="str">
        <x:v>[]</x:v>
      </x:c>
      <x:c r="O86" s="7" t="str">
        <x:v>[]</x:v>
      </x:c>
      <x:c r="P86" s="7" t="str">
        <x:v>["initiative_responsibility"]</x:v>
      </x:c>
      <x:c r="Q86" s="8" t="str">
        <x:v>no</x:v>
      </x:c>
      <x:c r="R86" s="8" t="str">
        <x:v>yes</x:v>
      </x:c>
      <x:c r="S86" s="8" t="str">
        <x:v>yes</x:v>
      </x:c>
      <x:c r="T86" s="7" t="str">
        <x:v>Reviewed against title, duties, mapped skills and detection sources.</x:v>
      </x:c>
    </x:row>
    <x:row r="87">
      <x:c r="A87" s="5" t="str">
        <x:v>soft_only</x:v>
      </x:c>
      <x:c r="B87" s="5" t="str">
        <x:v>27962274</x:v>
      </x:c>
      <x:c r="C87" s="7" t="str">
        <x:v>State qualified nurse (M/F)</x:v>
      </x:c>
      <x:c r="D87" s="7" t="str">
        <x:v>Our consultant Alice Pouchard is looking for a healthcare executive (M/F) for one of her clients in a medical-social establishment welcoming dependent elderly people, located in a calm and pleasant environment. The structure has a reception capacity on a human scale and is based on a stable organization promoting continuity of care. Support is based on a complete and committed multidisciplinary team, with particular attention paid to the quality of care and the well-being of residents. Missions Ensure the distribution and administration of medicinal treatments with real-time validation on the care software Implement and monitor nursing care plans Carry out technical care: dressings, specific monitoring, diabetic care, eye drops, infusions, patches, etc. Assess pain and ensure traceability of care Manage medical prescriptions, changes in treatment and monitoring of biological assessments Collaborate closely with the IDEC, the coordinating doctor and the healthcare team Accompany and support the nursing assistants in their daily practice Participate in the reception of new residents and the development of individualized life plans Ensure written and oral transmissions to the day and night teams Contribute to the relationship with families and in the management of emergency situations Holder of the State Nursing Diploma, you demonstrate humanity, rigor and adaptability. You enjoy teamwork and know how to communicate effectively with residents, families and professionals. Responsive and with good self-control, you want to be part of a structured establishment project for the long term, with possible prospects for development in the medium term. Conditions Full-time permanent contract - day position Biweekly shift: 7:30 a.m. - 7:30 p.m., every other weekend worked Organization of working time: 2 days worked / 2 days off then 3 days worked / 3 days off Remuneration between 2,800 EUR and 3,300 EUR gross monthly depending on seniority (Ségur included) Around 3,000 EUR gross monthly with Ségur Club-type benefits: reductions for leisure, cinema, holidays, school aid and commercial partnerships Stable team known to replacements, fluid and well-structured organization Possibility of progressing towards coordination functions (IDEC) in the medium term Contact me?? alice.pouchard[a]harry-hope.com ?? www.linkedin.com/in/alice-pouchard-b5b7141b8</x:v>
      </x:c>
      <x:c r="E87" s="5" t="str">
        <x:v>27500.0</x:v>
      </x:c>
      <x:c r="F87" s="5" t="str">
        <x:v>18e14e61-495b-44cc-a7c6-df4c625934ba</x:v>
      </x:c>
      <x:c r="G87" s="7" t="str">
        <x:v>["adapt to change", "communicate with local residents", "recreation activities", "work in multidisciplinary health teams"]</x:v>
      </x:c>
      <x:c r="H87" s="7" t="str">
        <x:v>[]</x:v>
      </x:c>
      <x:c r="I87" s="7" t="str">
        <x:v>["adapt to change", "communicate with local residents"]</x:v>
      </x:c>
      <x:c r="J87" s="7" t="str">
        <x:v>[]</x:v>
      </x:c>
      <x:c r="K87" s="7" t="str">
        <x:v>[]</x:v>
      </x:c>
      <x:c r="L87" s="7" t="str">
        <x:v>[]</x:v>
      </x:c>
      <x:c r="M87" s="7" t="str">
        <x:v>[]</x:v>
      </x:c>
      <x:c r="N87" s="7" t="str">
        <x:v>[]</x:v>
      </x:c>
      <x:c r="O87" s="7" t="str">
        <x:v>[]</x:v>
      </x:c>
      <x:c r="P87" s="7" t="str">
        <x:v>["adaptability", "communication"]</x:v>
      </x:c>
      <x:c r="Q87" s="8" t="str">
        <x:v>no</x:v>
      </x:c>
      <x:c r="R87" s="8" t="str">
        <x:v>yes</x:v>
      </x:c>
      <x:c r="S87" s="8" t="str">
        <x:v>yes</x:v>
      </x:c>
      <x:c r="T87" s="7" t="str">
        <x:v>Reviewed against title, duties, mapped skills and detection sources.</x:v>
      </x:c>
    </x:row>
    <x:row r="88">
      <x:c r="A88" s="5" t="str">
        <x:v>soft_only</x:v>
      </x:c>
      <x:c r="B88" s="5" t="str">
        <x:v>202QDXX</x:v>
      </x:c>
      <x:c r="C88" s="7" t="str">
        <x:v>Designer-designer / Designer-designer of studies in electricity and electronics (M/F)</x:v>
      </x:c>
      <x:c r="D88" s="7" t="str">
        <x:v>Within the Design Office, you will be responsible for carrying out studies and designing electrical diagrams for LV cabinets intended for electrical substations. You will be responsible for carrying out studies and technical specifications to guarantee the proper execution of projects. Main missions: Carry out electrical studies for the design of low voltage (LV) cabinet diagrams for electrical substations. Analyze specifications and define appropriate technical solutions. Design electrical diagrams respecting standards and technical constraints in AutoCAD. Develop and monitor execution plans and technical files. Ensure the quality, compliance and safety of electrical installations throughout projects. Work closely with project managers, engineers and execution teams. Profile: With Bac +2 / Bac +3 training in electrical engineering or equivalent, you have 3 to 5 years of experience in an electrical designer position, with good mastery of electrical design tools. You have acquired during your experience: Mastery of AutoCAD software Knowledge of electrical substations (BT part). Rigor, autonomy and team spirit.</x:v>
      </x:c>
      <x:c r="E88" s="5" t="str">
        <x:v>33350.0</x:v>
      </x:c>
      <x:c r="F88" s="5" t="str">
        <x:v>d849fd2a-5210-434b-a50b-2d92de3a4bac</x:v>
      </x:c>
      <x:c r="G88" s="7" t="str">
        <x:v>["create project specifications", "electrical wiring plans", "ensure compliance with policies", "ensure safety in electrical power operations", "interpret electronic design specifications", "patient autonomy", "solve technical problems"]</x:v>
      </x:c>
      <x:c r="H88" s="7" t="str">
        <x:v>[]</x:v>
      </x:c>
      <x:c r="I88" s="7" t="str">
        <x:v>["solve technical problems"]</x:v>
      </x:c>
      <x:c r="J88" s="7" t="str">
        <x:v>[]</x:v>
      </x:c>
      <x:c r="K88" s="7" t="str">
        <x:v>[]</x:v>
      </x:c>
      <x:c r="L88" s="7" t="str">
        <x:v>[]</x:v>
      </x:c>
      <x:c r="M88" s="7" t="str">
        <x:v>[]</x:v>
      </x:c>
      <x:c r="N88" s="7" t="str">
        <x:v>[]</x:v>
      </x:c>
      <x:c r="O88" s="7" t="str">
        <x:v>[]</x:v>
      </x:c>
      <x:c r="P88" s="7" t="str">
        <x:v>["problem_solving"]</x:v>
      </x:c>
      <x:c r="Q88" s="8" t="str">
        <x:v>no</x:v>
      </x:c>
      <x:c r="R88" s="8" t="str">
        <x:v>yes</x:v>
      </x:c>
      <x:c r="S88" s="8" t="str">
        <x:v>yes</x:v>
      </x:c>
      <x:c r="T88" s="7" t="str">
        <x:v>Reviewed against title, duties, mapped skills and detection sources.</x:v>
      </x:c>
    </x:row>
    <x:row r="89">
      <x:c r="A89" s="5" t="str">
        <x:v>soft_only</x:v>
      </x:c>
      <x:c r="B89" s="5" t="str">
        <x:v>haysfrance_1443712_1771857240</x:v>
      </x:c>
      <x:c r="C89" s="7" t="str">
        <x:v>Industrial management controller M/F</x:v>
      </x:c>
      <x:c r="D89" s="7" t="str">
        <x:v>1 Ensure the animation and management of the site management controllers: * Harmonization of the calculation of cost prices and the calculation of allocated costs (STD/Actual differences) (Compliance with group rules) * Monitoring of common implementations and management of imbalances and downgrades * Implementation of common methods for monitoring industrial performance * Assistance in the definition of transfer prices by ensuring the consistency of the site 2 Implement indicators, dashboards, and carry out the studies necessary for the operation of the site: * Comparative analysis of results and industrial performances (Materials, Labor mainly). * Operation, analysis and commentary of the economic results of the site; * Operation and analysis of allocated costs and commercial margins for customers and items * Participation in economic studies of investments and monitoring of investment returns * Critical analysis and proposals for improvement * Participation in “recurrence” points of the site. Diploma in finance, accounting or management minimum Bac +4. - Significant experience in industrial management control, minimum 5 years in a similar position - Excellent analytical and synthesis skills. - Mastery of management tools and reporting software. - Sense of responsibility - Ability to influence - Ability to manage projects - Good communication and teamwork skills.</x:v>
      </x:c>
      <x:c r="E89" s="5" t="str">
        <x:v>50000.0</x:v>
      </x:c>
      <x:c r="F89" s="5" t="str">
        <x:v>60082a99-d8ef-4e84-9290-78902681b6ed</x:v>
      </x:c>
      <x:c r="G89" s="7" t="str">
        <x:v>["accounting", "communicate with customers", "investment analysis"]</x:v>
      </x:c>
      <x:c r="H89" s="7" t="str">
        <x:v>[]</x:v>
      </x:c>
      <x:c r="I89" s="7" t="str">
        <x:v>["communicate with customers"]</x:v>
      </x:c>
      <x:c r="J89" s="7" t="str">
        <x:v>[]</x:v>
      </x:c>
      <x:c r="K89" s="7" t="str">
        <x:v>[]</x:v>
      </x:c>
      <x:c r="L89" s="7" t="str">
        <x:v>[]</x:v>
      </x:c>
      <x:c r="M89" s="7" t="str">
        <x:v>[]</x:v>
      </x:c>
      <x:c r="N89" s="7" t="str">
        <x:v>[]</x:v>
      </x:c>
      <x:c r="O89" s="7" t="str">
        <x:v>[]</x:v>
      </x:c>
      <x:c r="P89" s="7" t="str">
        <x:v>["communication", "customer_interaction"]</x:v>
      </x:c>
      <x:c r="Q89" s="8" t="str">
        <x:v>no</x:v>
      </x:c>
      <x:c r="R89" s="8" t="str">
        <x:v>yes</x:v>
      </x:c>
      <x:c r="S89" s="8" t="str">
        <x:v>yes</x:v>
      </x:c>
      <x:c r="T89" s="7" t="str">
        <x:v>Reviewed against title, duties, mapped skills and detection sources.</x:v>
      </x:c>
    </x:row>
    <x:row r="90">
      <x:c r="A90" s="5" t="str">
        <x:v>soft_only</x:v>
      </x:c>
      <x:c r="B90" s="5" t="str">
        <x:v>27834257</x:v>
      </x:c>
      <x:c r="C90" s="7" t="str">
        <x:v>Neurologist M/F - Évry 91000</x:v>
      </x:c>
      <x:c r="D90" s="7" t="str">
        <x:v>Job Neurologist Évry 91000 | La Solution Médicale Medical Center in Évry 91000, is looking for a Neurologist (M/F) to work in a modern structure on vacation or full-time. - Permanent employee status - On vacation or full time (flexible hours) - Sector 1 Third Party Paying - Electromyogram, Electroencephalogram - State-of-the-art equipment - Medical secretary (no administrative task) - Practitioners are assisted by a paramedical team of Nursing Assistants - Remuneration in the form of remuneration of turnover on act and consultation, CP included. -Numerous advantages: Professional Insurance, Restaurant vouchers, Regular training, works council... -Work within a multidisciplinary team -Exceptional location close to transport amenities. -Position to be filled immediately Do not hesitate to contact us for further information at *** (see apply) or *** (see apply). Qualities sought: Serious; Professionalism; Commitment; Constancy; Flexibility and attentive to the patient. Contact us directly for more information by phone or email. Graduated, Registered with the Order of Physicians in France. Qualities sought: Serious; Professionalism; Commitment; Constancy; Flexibility and attentive to the patient. Contact us directly for more information by phone or email.</x:v>
      </x:c>
      <x:c r="E90" s="5" t="str">
        <x:v>70000.0</x:v>
      </x:c>
      <x:c r="F90" s="5" t="str">
        <x:v>9b889f07-c39c-464d-b9d9-b2daa650f9ac</x:v>
      </x:c>
      <x:c r="G90" s="7" t="str">
        <x:v>["consultation", "meet commitments"]</x:v>
      </x:c>
      <x:c r="H90" s="7" t="str">
        <x:v>[]</x:v>
      </x:c>
      <x:c r="I90" s="7" t="str">
        <x:v>["meet commitments"]</x:v>
      </x:c>
      <x:c r="J90" s="7" t="str">
        <x:v>[]</x:v>
      </x:c>
      <x:c r="K90" s="7" t="str">
        <x:v>[]</x:v>
      </x:c>
      <x:c r="L90" s="7" t="str">
        <x:v>[]</x:v>
      </x:c>
      <x:c r="M90" s="7" t="str">
        <x:v>[]</x:v>
      </x:c>
      <x:c r="N90" s="7" t="str">
        <x:v>[]</x:v>
      </x:c>
      <x:c r="O90" s="7" t="str">
        <x:v>[]</x:v>
      </x:c>
      <x:c r="P90" s="7" t="str">
        <x:v>["initiative_responsibility"]</x:v>
      </x:c>
      <x:c r="Q90" s="8" t="str">
        <x:v>no</x:v>
      </x:c>
      <x:c r="R90" s="8" t="str">
        <x:v>yes</x:v>
      </x:c>
      <x:c r="S90" s="8" t="str">
        <x:v>no</x:v>
      </x:c>
      <x:c r="T90" s="7" t="str">
        <x:v>Το initiative/responsibility βασίζεται σε ασθενή γενική διατύπωση και όχι σε σαφή απαίτηση δεξιότητας.</x:v>
      </x:c>
    </x:row>
    <x:row r="91">
      <x:c r="A91" s="5" t="str">
        <x:v>soft_only</x:v>
      </x:c>
      <x:c r="B91" s="5" t="str">
        <x:v>27822902</x:v>
      </x:c>
      <x:c r="C91" s="7" t="str">
        <x:v>DRAWER M/F</x:v>
      </x:c>
      <x:c r="D91" s="7" t="str">
        <x:v>The tasks associated with the position are: - Material preparation, - Preparation of manufacturer files, control or welding files - Possible measurement for drawing up plans - Analysis of the part through a plan or a technical specification in relation to an overall plan - Studies the manufacturing work of goods or technical services according to regulatory standards and quality requirements You are methodical, you have knowledge of CAD/DAO and IT You have knowledge of welding and experience in boilermaking Then this position is for you!!! TO YOUR CV</x:v>
      </x:c>
      <x:c r="E91" s="5" t="str">
        <x:v>27500.0</x:v>
      </x:c>
      <x:c r="F91" s="5" t="str">
        <x:v>d849fd2a-5210-434b-a50b-2d92de3a4bac</x:v>
      </x:c>
      <x:c r="G91" s="7" t="str">
        <x:v>["communicate production plan", "quality standards", "research welding techniques"]</x:v>
      </x:c>
      <x:c r="H91" s="7" t="str">
        <x:v>[]</x:v>
      </x:c>
      <x:c r="I91" s="7" t="str">
        <x:v>["communicate production plan"]</x:v>
      </x:c>
      <x:c r="J91" s="7" t="str">
        <x:v>[]</x:v>
      </x:c>
      <x:c r="K91" s="7" t="str">
        <x:v>[]</x:v>
      </x:c>
      <x:c r="L91" s="7" t="str">
        <x:v>[]</x:v>
      </x:c>
      <x:c r="M91" s="7" t="str">
        <x:v>[]</x:v>
      </x:c>
      <x:c r="N91" s="7" t="str">
        <x:v>[]</x:v>
      </x:c>
      <x:c r="O91" s="7" t="str">
        <x:v>[]</x:v>
      </x:c>
      <x:c r="P91" s="7" t="str">
        <x:v>["communication"]</x:v>
      </x:c>
      <x:c r="Q91" s="8" t="str">
        <x:v>no</x:v>
      </x:c>
      <x:c r="R91" s="8" t="str">
        <x:v>yes</x:v>
      </x:c>
      <x:c r="S91" s="8" t="str">
        <x:v>yes</x:v>
      </x:c>
      <x:c r="T91" s="7" t="str">
        <x:v>Reviewed against title, duties, mapped skills and detection sources.</x:v>
      </x:c>
    </x:row>
    <x:row r="92">
      <x:c r="A92" s="5" t="str">
        <x:v>soft_only</x:v>
      </x:c>
      <x:c r="B92" s="5" t="str">
        <x:v>27873467</x:v>
      </x:c>
      <x:c r="C92" s="7" t="str">
        <x:v>Handler F/M</x:v>
      </x:c>
      <x:c r="D92" s="7" t="str">
        <x:v>SERVAGROUPE, a family group with twenty-five years of experience, is today a key player in employment, with 19 agencies located in the Great West. Our professions: Temporary Work (general and specialized in knife professions), Training, Consulting and Integration. Our values: proximity, satisfaction, reliability and responsiveness. Do you want a new impetus, a motivating professional project? Contact your local agency, we will support the realization of your project. We are recruiting for a Breton company specializing in the processing and freezing of shellfish, cephalopods and fish. Structure on a human scale, team atmosphere and recognized know-how in the seafood sector. Your missions: As a sorting agent, handler, you will receive goods from boats. You will have to open the bags containing the different seafood products (fish, scallops) then package them. Hours: Morning work, Monday to Friday, Other elements of the position: At our client's: Hourly rate: 11.91EUR, Dressing bonus: 0.73 EUR / day worked. With Servagroupe: Cezam card (from 455 hours of mission), Participation bonus (from 455 hours), Personalized support from your agency. Recruitment process After analyzing your application, if your profile matches, we will contact you for an interview in an agency. - Experience in industrial production desired. - Rigor, autonomy and team spirit.</x:v>
      </x:c>
      <x:c r="E92" s="5" t="str">
        <x:v>22800.0</x:v>
      </x:c>
      <x:c r="F92" s="5" t="str">
        <x:v>062d666b-8b5f-4ff2-9047-113831eb3e9f</x:v>
      </x:c>
      <x:c r="G92" s="7" t="str">
        <x:v>["consult with business clients", "patient autonomy", "recruit personnel"]</x:v>
      </x:c>
      <x:c r="H92" s="7" t="str">
        <x:v>[]</x:v>
      </x:c>
      <x:c r="I92" s="7" t="str">
        <x:v>["consult with business clients"]</x:v>
      </x:c>
      <x:c r="J92" s="7" t="str">
        <x:v>[]</x:v>
      </x:c>
      <x:c r="K92" s="7" t="str">
        <x:v>[]</x:v>
      </x:c>
      <x:c r="L92" s="7" t="str">
        <x:v>[]</x:v>
      </x:c>
      <x:c r="M92" s="7" t="str">
        <x:v>[]</x:v>
      </x:c>
      <x:c r="N92" s="7" t="str">
        <x:v>[]</x:v>
      </x:c>
      <x:c r="O92" s="7" t="str">
        <x:v>[]</x:v>
      </x:c>
      <x:c r="P92" s="7" t="str">
        <x:v>["customer_interaction"]</x:v>
      </x:c>
      <x:c r="Q92" s="8" t="str">
        <x:v>no</x:v>
      </x:c>
      <x:c r="R92" s="8" t="str">
        <x:v>yes</x:v>
      </x:c>
      <x:c r="S92" s="8" t="str">
        <x:v>no</x:v>
      </x:c>
      <x:c r="T92" s="7" t="str">
        <x:v>False positive soft skill: η customer interaction προέρχεται από κείμενο του agency· η θέση είναι χειριστής/διαλογή.</x:v>
      </x:c>
    </x:row>
    <x:row r="93">
      <x:c r="A93" s="5" t="str">
        <x:v>soft_only</x:v>
      </x:c>
      <x:c r="B93" s="5" t="str">
        <x:v>6766442</x:v>
      </x:c>
      <x:c r="C93" s="7" t="str">
        <x:v>Industrial analysis laboratory preparer (M/F)</x:v>
      </x:c>
      <x:c r="D93" s="7" t="str">
        <x:v>Becoming a temporary worker at Start People means benefiting from numerous advantages: -A sponsorship bonus of €100 if you help one of your friends to be employed by Start People on a temporary, fixed-term or permanent basis -A profit-sharing bonus based on your hours worked -Training offers to help you improve your skills and progress in your career -A Social and Economic Committee which offers you numerous advantages for your family events, sporting activities, vacations, etc. -Support from the FASTT from the moment you 1st hour worked (housing, mobility, childcare, complementary health insurance, etc.) Our StartApp application makes your daily life as a temporary worker easier: your deposits, time records, certificates and other documents will be at your fingertips! About Start People Permanent contract, fixed-term contract or temporary contract, whatever the sector of activity, Start People supports you throughout your professional career. At Start People, we prioritize human relations and delegate 100,000 people each year. Our teams listen to your needs and are attentive to your constraints to offer you the most suitable mission with one of our 19,000 client companies. Thousands of job offers are online every day on our site startpeople.fr. POSITION: PI ELEC METHOD PREPARER (M/F) Your START PEOPLE Thionville Agency is looking for a PI ELEC METHOD PREPANER (M/F) for one of its clients based at the CATTENOM CNPE as soon as possible. During your mission you will be required to carry out several tasks: - Respect the rules of safety, quality and environment - Respect the deadlines for maintenance programs and the deadlines for preparing files - Develop and manage the budget while respecting the guidelines - Follow purchasing requests - Ensure exchanges and negotiations with the customer - Participate in the development of contracts by drawing up specifications - Contract the requirements and objectives to be achieved - Prepare the work implementation files - Plan, manage and coordinate the activities - Close the case by carrying out the assessment, processing of findings and evaluation of the service - Report to your hierarchical superior on the progress of business Employment's mission is to prepare and carry out the business that will be entrusted to it. The job is responsible for the outcome of the entrusted matters. The position is subject to an administrative investigation by EDF. The recruitment stages. The recruitment stages may vary depending on the offer to which you are applying. Once applied, you will receive a response within 5 to 15 days. Elysa or Aurelie will contact you for a phone call of approximately 15 minutes. We will then schedule an interview in the agency to then present your profile to our client PROFILE: You hold a BAC +2/3 in the Electrical field with solid knowledge in the nuclear environment (knowledge of computer tools and software), You have good interpersonal skills, good communicator for teamwork. Sense of responsibility and results Ability to analyze and synthesize Taking a step back Ability to adapt to hazards, You will become a major player in the success of shutdowns tranche and TEM within our client company. As part of its Diversity policy, Start People studies all applications, including those from people with disabilities, for equal qualifications. Are you interested in this mission? Go ahead and apply now! Our agency will get back to you by e-mail or telephone, then you will be able to speak with a recruitment manager, so that they can validate the suitability of your profile. We will then welcome you to the agency to give you security tests and finalize your registration.</x:v>
      </x:c>
      <x:c r="E93" s="5" t="str">
        <x:v>33000.0</x:v>
      </x:c>
      <x:c r="F93" s="5" t="str">
        <x:v>61d9270c-491d-438d-8d41-77ba2e0ef023</x:v>
      </x:c>
      <x:c r="G93" s="7" t="str">
        <x:v>["assume responsibility", "babysitting", "communicate by telephone", "complementary and alternative medicine", "meet contract specifications", "mobility as a service", "plan maintenance activities", "recruit personnel"]</x:v>
      </x:c>
      <x:c r="H93" s="7" t="str">
        <x:v>[]</x:v>
      </x:c>
      <x:c r="I93" s="7" t="str">
        <x:v>["assume responsibility", "communicate by telephone"]</x:v>
      </x:c>
      <x:c r="J93" s="7" t="str">
        <x:v>[]</x:v>
      </x:c>
      <x:c r="K93" s="7" t="str">
        <x:v>[]</x:v>
      </x:c>
      <x:c r="L93" s="7" t="str">
        <x:v>[]</x:v>
      </x:c>
      <x:c r="M93" s="7" t="str">
        <x:v>[]</x:v>
      </x:c>
      <x:c r="N93" s="7" t="str">
        <x:v>[]</x:v>
      </x:c>
      <x:c r="O93" s="7" t="str">
        <x:v>[]</x:v>
      </x:c>
      <x:c r="P93" s="7" t="str">
        <x:v>["communication", "initiative_responsibility"]</x:v>
      </x:c>
      <x:c r="Q93" s="8" t="str">
        <x:v>no</x:v>
      </x:c>
      <x:c r="R93" s="8" t="str">
        <x:v>yes</x:v>
      </x:c>
      <x:c r="S93" s="8" t="str">
        <x:v>no</x:v>
      </x:c>
      <x:c r="T93" s="7" t="str">
        <x:v>Οι soft αντιστοιχίσεις προέρχονται κυρίως από γενικό κείμενο του agency και όχι από τα καθήκοντα εργαστηρίου.</x:v>
      </x:c>
    </x:row>
    <x:row r="94">
      <x:c r="A94" s="5" t="str">
        <x:v>soft_only</x:v>
      </x:c>
      <x:c r="B94" s="5" t="str">
        <x:v>gigroupfrance_64343_1771863484</x:v>
      </x:c>
      <x:c r="C94" s="7" t="str">
        <x:v>Welder Fitter M/F</x:v>
      </x:c>
      <x:c r="D94" s="7" t="str">
        <x:v>Welder Fitter M/F - ANNONAY (07) GI Group, specialist in temporary work, fixed-term contracts and permanent contracts, supports you with proximity, responsiveness and commitment. We place people at the heart of our priorities to offer you missions adapted to your profile, in the industrial, agri-food and logistics sectors. Join our team for a welder fitter position (M/F) with our client based in Annonay, a player recognized for the quality of its products and its human values. Contract: long-term mission (temporary) Start: Immediately Hours: 2x8 Salary: €13.43/h gross + bonuses: * Mileage allowance (transport) * Holiday bonus * Dressing bonus * Back-to-school bonus / Christmas Your missions: * You carry out mechanically welded assemblies while scrupulously respecting procedures, quality standards and safety instructions. * You carry out the positioning, pointing and welding of components such as tubes and sheets, using templates and Semi-Auto, MAG or MIG welding processes. * You ensure quality control of welds by visual inspection and update the associated documents. * You interpret technical diagrams and precisely handle specific tools. Profile sought: * You have at least one year of experience in a similar position and, ideally, have training in welding or boilermaking. * You are proficient in the use of portable power tools such as screwdrivers, drills and bolters. * Precise, rigorous and with excellent team spirit, you demonstrate a keen sense of compliance with safety instructions. What we offer: Join a dynamic company and benefit from personalized support throughout your professional journey. Ready to get started? Send us your CV without delay! We look forward to discovering your application and discussing with you. As part of its diversity policy, GI Group studies, with equal skills, all applications, including those from people with disabilities.</x:v>
      </x:c>
      <x:c r="E94" s="5" t="str">
        <x:v>24943.0</x:v>
      </x:c>
      <x:c r="F94" s="5" t="str">
        <x:v>7aedaa07-3884-4c5b-88f9-80997b2aa54b</x:v>
      </x:c>
      <x:c r="G94" s="7" t="str">
        <x:v>["meet commitments", "perform tungsten inert gas welding", "welding techniques"]</x:v>
      </x:c>
      <x:c r="H94" s="7" t="str">
        <x:v>[]</x:v>
      </x:c>
      <x:c r="I94" s="7" t="str">
        <x:v>["meet commitments"]</x:v>
      </x:c>
      <x:c r="J94" s="7" t="str">
        <x:v>[]</x:v>
      </x:c>
      <x:c r="K94" s="7" t="str">
        <x:v>[]</x:v>
      </x:c>
      <x:c r="L94" s="7" t="str">
        <x:v>[]</x:v>
      </x:c>
      <x:c r="M94" s="7" t="str">
        <x:v>[]</x:v>
      </x:c>
      <x:c r="N94" s="7" t="str">
        <x:v>[]</x:v>
      </x:c>
      <x:c r="O94" s="7" t="str">
        <x:v>[]</x:v>
      </x:c>
      <x:c r="P94" s="7" t="str">
        <x:v>["initiative_responsibility"]</x:v>
      </x:c>
      <x:c r="Q94" s="8" t="str">
        <x:v>no</x:v>
      </x:c>
      <x:c r="R94" s="8" t="str">
        <x:v>yes</x:v>
      </x:c>
      <x:c r="S94" s="8" t="str">
        <x:v>yes</x:v>
      </x:c>
      <x:c r="T94" s="7" t="str">
        <x:v>Reviewed against title, duties, mapped skills and detection sources.</x:v>
      </x:c>
    </x:row>
    <x:row r="95">
      <x:c r="A95" s="5" t="str">
        <x:v>soft_only</x:v>
      </x:c>
      <x:c r="B95" s="5" t="str">
        <x:v>Newrest - DLVVOOKTZBZQEP708</x:v>
      </x:c>
      <x:c r="C95" s="7" t="str">
        <x:v>Newrest - Quality technician in the food industry (M/F)</x:v>
      </x:c>
      <x:c r="D95" s="7" t="str">
        <x:v>Newrest, a specialist in catering services, offers solutions adapted to the needs of its customers: personalized menu design, culinary skills, logistics management, preparation of trolleys for boarding, “last mile” delivery service and loading of planes, up to VIP services. You are looking for a new challenge, an exciting activity and you want to express all your skills in airline catering, then join us! As part of our continued development, we are recruiting a QHSE Correspondent. Under QHSE Management, you will provide support to your hierarchy on all issues by guaranteeing the application of the group's Quality, Food Hygiene and Environmental policies. You will be responsible for ensuring compliance with Newrest France's commitments and current regulatory standards by supporting the operational teams. You will be proactive and responsive on the measures to be put in place and you will have to guide the teams towards continuous improvement of the Activity Management System. Your main missions will be as follows: FOOD SAFETY Check daily, periodically and then ensure the proper application of the unit's health control plan. Carrying out relevant microbiological, physical and/or chemical checks/self-checks. Operational and documentary support for the implementation, monitoring and evolution of the health control plan in order to enforce standards, customer requirements and legislation. Have the ability to produce summaries/reports on anomalies encountered regarding non-compliance with food safety. QUALITY MANAGEMENT SYSTEM Having the ability to carry out and synthesize self-checks aimed at guaranteeing the quality of our customers' services (according to their specificities): weight control, organoleptic test or food test, verification of standards. Ensure the validity and reliability of the controls established to ensure the conformity of products and services. AUDIT/OPERATIONAL SUPPORT Support for operational staff to ensure the success of Customer audits. Carry out checks to ensure upstream compliance with quality, health and safety requirements and regulations. If necessary, welcome verification and certifying bodies during audits and/or control visits. Respond to requests from authorities: delivery of technical documents, traceability, etc. If necessary, be the interface during customer audits, customer complaints, supplier complaints, official bodies COMMUNICATION Ensure constant communication with operational staff regarding the hygiene policy and objectives set. Alert Service Managers when anomalies are observed. Provide internal training in the areas of Food Hygiene, Quality and Environment necessary for the proper functioning of the service. Disseminate and explain the QHSE indicators for your scope of activity. Inform your hierarchy of anomalies observed and actions that can be taken to remedy them. These non-exhaustive missions can be adapted to the necessary developments of the company and will be carried out in compliance with Group standards and directives, of which investment, a feeling of responsibility, ethics, transparency and honesty are the foundations. Bac+2/3: Higher studies in microbiology, food technology and quality management. 1st experience in collective catering or catering food industry. Knowledge of standards such as ISO9001, 22000, 14001, etc. Possibility of working on weekends and staggered hours. As part of its diversity policy, Newrest studies, with equal skills, all applications, including those from people with disabilities. ABOUT NEWREST: The world's leading independent player in airline catering, 96.5% owned by its managers, Newrest is the only operator operating in all sectors: airline catering, camp sites, railway catering, collective catering and retail. With more than 45,000 employees present in 54 countries, the group achieved a turnover of 2.5 billion euros over the last financial year 2023/2024. Humility, simplicity, efficiency and sense of responsibility</x:v>
      </x:c>
      <x:c r="E95" s="5" t="str">
        <x:v>31250.0</x:v>
      </x:c>
      <x:c r="F95" s="5" t="str">
        <x:v>33fe4c90-c4fd-4860-bdc5-24fcab16f45a</x:v>
      </x:c>
      <x:c r="G95" s="7" t="str">
        <x:v>["assume responsibility", "board aircraft passengers", "comply with food safety and hygiene", "conduct food tests", "coordinate catering", "environmental policy", "handle customer complaints", "human factors regarding safety", "hygiene in a health care setting", "identify customer requirements", "identify key processes of traceability systems ", "investment analysis", "manage logistics", "manage quality", "monitor developments used for food industry", "organise camp activities", "organise quality circle", "provide user documentation", "support implementation of quality management systems"]</x:v>
      </x:c>
      <x:c r="H95" s="7" t="str">
        <x:v>[]</x:v>
      </x:c>
      <x:c r="I95" s="7" t="str">
        <x:v>["assume responsibility"]</x:v>
      </x:c>
      <x:c r="J95" s="7" t="str">
        <x:v>[]</x:v>
      </x:c>
      <x:c r="K95" s="7" t="str">
        <x:v>[]</x:v>
      </x:c>
      <x:c r="L95" s="7" t="str">
        <x:v>[]</x:v>
      </x:c>
      <x:c r="M95" s="7" t="str">
        <x:v>[]</x:v>
      </x:c>
      <x:c r="N95" s="7" t="str">
        <x:v>[]</x:v>
      </x:c>
      <x:c r="O95" s="7" t="str">
        <x:v>[]</x:v>
      </x:c>
      <x:c r="P95" s="7" t="str">
        <x:v>["initiative_responsibility"]</x:v>
      </x:c>
      <x:c r="Q95" s="8" t="str">
        <x:v>no</x:v>
      </x:c>
      <x:c r="R95" s="8" t="str">
        <x:v>yes</x:v>
      </x:c>
      <x:c r="S95" s="8" t="str">
        <x:v>yes</x:v>
      </x:c>
      <x:c r="T95" s="7" t="str">
        <x:v>Reviewed against title, duties, mapped skills and detection sources.</x:v>
      </x:c>
    </x:row>
    <x:row r="96">
      <x:c r="A96" s="5" t="str">
        <x:v>soft_only</x:v>
      </x:c>
      <x:c r="B96" s="5" t="str">
        <x:v>27784679</x:v>
      </x:c>
      <x:c r="C96" s="7" t="str">
        <x:v>VRD works manager (M/F)</x:v>
      </x:c>
      <x:c r="D96" s="7" t="str">
        <x:v>We are looking for a VRD works manager (M/F) in Castres. Your main mission will be to ensure the proper execution of our ambitious projects in the field of infrastructure and various networks (VRD), from preparation to delivery. This while respecting our strong commitments to innovation and sustainable development within a large group recognized in the Public Works and urban planning sector. Your future missions: - Organize and plan the work while respecting quality, cost and deadline objectives. - Manage teams: coordinate stakeholders (internal and subcontractors), lead site meetings. - Manage the necessary resources (materials, labor and supplies). - Monitor projects administratively and financially, from the development of budgets to the validation of invoices. - Guarantee regulatory compliance and safety on construction sites. - Ensure customer satisfaction and represent the group to project owners and partners. Where: Castres For how much: from 45KEUR / year Type of contract: temporary Between us it will work if you have: - Between 6 to 10 years of experience (minimum) as a VRD Works Manager or in a similar position in VRD or infrastructure. - A Bac+2 to Bac+5 in Public Works, Civil Engineering or equivalent. - Mastery of project management tools, ability to read plans and knowledge of regulations related to public works. - Strong leadership, organizational skills, autonomy, and excellent interpersonal skills. - A valid B license (frequent travel to construction sites is an essential part of this position). The advantages of the mission: - Join a structured and growing group. - Participate in varied and stimulating projects throughout the region. - Evolve in a dynamic work environment with prospects for advancement. - Benefit from a continuing training policy to allow you to develop your skills.</x:v>
      </x:c>
      <x:c r="E96" s="5" t="str">
        <x:v>45000.0</x:v>
      </x:c>
      <x:c r="F96" s="5" t="str">
        <x:v>ba3bacd4-73e9-4861-a9c0-f89f1f28055a</x:v>
      </x:c>
      <x:c r="G96" s="7" t="str">
        <x:v>["civil engineering", "follow health and safety procedures in construction", "guarantee customer satisfaction", "lead board meetings", "manage resources", "meet deadlines", "patient autonomy", "preparation for child delivery"]</x:v>
      </x:c>
      <x:c r="H96" s="7" t="str">
        <x:v>[]</x:v>
      </x:c>
      <x:c r="I96" s="7" t="str">
        <x:v>["meet deadlines"]</x:v>
      </x:c>
      <x:c r="J96" s="7" t="str">
        <x:v>[]</x:v>
      </x:c>
      <x:c r="K96" s="7" t="str">
        <x:v>[]</x:v>
      </x:c>
      <x:c r="L96" s="7" t="str">
        <x:v>[]</x:v>
      </x:c>
      <x:c r="M96" s="7" t="str">
        <x:v>[]</x:v>
      </x:c>
      <x:c r="N96" s="7" t="str">
        <x:v>[]</x:v>
      </x:c>
      <x:c r="O96" s="7" t="str">
        <x:v>[]</x:v>
      </x:c>
      <x:c r="P96" s="7" t="str">
        <x:v>["initiative_responsibility"]</x:v>
      </x:c>
      <x:c r="Q96" s="8" t="str">
        <x:v>no</x:v>
      </x:c>
      <x:c r="R96" s="8" t="str">
        <x:v>yes</x:v>
      </x:c>
      <x:c r="S96" s="8" t="str">
        <x:v>yes</x:v>
      </x:c>
      <x:c r="T96" s="7" t="str">
        <x:v>Reviewed against title, duties, mapped skills and detection sources.</x:v>
      </x:c>
    </x:row>
    <x:row r="97">
      <x:c r="A97" s="5" t="str">
        <x:v>soft_only</x:v>
      </x:c>
      <x:c r="B97" s="5" t="str">
        <x:v>dzkljqmmbn</x:v>
      </x:c>
      <x:c r="C97" s="7" t="str">
        <x:v>Room server (M/F)</x:v>
      </x:c>
      <x:c r="D97" s="7" t="str">
        <x:v>RESPONSIBILITIES: Seasonal contract ️ From February to the end of November Remuneration &amp; benefits • Fixed salary • Overtime paid every month • Two consecutive days of rest per week outside high season • Flexible hours outside summer period Work organization • Possibility of working lunchtimes and/or evenings • Possibility of working during breaks • (lunch service, break, evening service) Your missions • Greet and install customers with professionalism and good humor • Present the menu, advise customers and take orders • Ensure room service (dishes and drinks) • Ensure customer satisfaction throughout the service • Collect payments • Participate in setting up and tidying up the room • Maintain cleanliness and respect for hygiene rules • Work in close collaboration with the kitchen and dining team PROFILE WANTED: Profile sought • The profile sought combines interpersonal skills and interpersonal skills essential to the catering sector. Dynamism and motivation are major assets for joining a team operating in a demanding environment, where responsiveness and versatility are real guarantees of success. A smiling candidate, with a developed sense of service, will be able to meet customer expectations and guarantee a friendly and warm experience. The position requires a strong ability to work in a team, listen and anticipate customer needs. The ability to manage multiple tasks simultaneously, while remaining organized and efficient, is also valued. Good interpersonal skills and a positive attitude will create a pleasant climate, both with customers and within the team. A first experience in catering will be considered an advantage, but is in no way obligatory: motivation, the desire to learn and the desire to invest take precedence. This position represents a great opportunity for people wishing to learn about room service jobs and develop skills recognized in the sector. If enthusiasm, professionalism and a sense of community are part of your natural qualities, this offer represents an excellent opportunity to express them in a stimulating and educational environment.</x:v>
      </x:c>
      <x:c r="E97" s="5" t="str">
        <x:v>30000.0</x:v>
      </x:c>
      <x:c r="F97" s="5" t="str">
        <x:v>96a0d8d3-d4a6-473d-80d6-b5dbadde940a</x:v>
      </x:c>
      <x:c r="G97" s="7" t="str">
        <x:v>["advise customers on photography", "clean rooms", "hygiene in a health care setting", "identify customer's needs", "perform multiple tasks at the same time", "present menus", "provide food and beverages", "train religious professionals"]</x:v>
      </x:c>
      <x:c r="H97" s="7" t="str">
        <x:v>[]</x:v>
      </x:c>
      <x:c r="I97" s="7" t="str">
        <x:v>["identify customer's needs"]</x:v>
      </x:c>
      <x:c r="J97" s="7" t="str">
        <x:v>[]</x:v>
      </x:c>
      <x:c r="K97" s="7" t="str">
        <x:v>[]</x:v>
      </x:c>
      <x:c r="L97" s="7" t="str">
        <x:v>[]</x:v>
      </x:c>
      <x:c r="M97" s="7" t="str">
        <x:v>[]</x:v>
      </x:c>
      <x:c r="N97" s="7" t="str">
        <x:v>[]</x:v>
      </x:c>
      <x:c r="O97" s="7" t="str">
        <x:v>[]</x:v>
      </x:c>
      <x:c r="P97" s="7" t="str">
        <x:v>["customer_interaction"]</x:v>
      </x:c>
      <x:c r="Q97" s="8" t="str">
        <x:v>no</x:v>
      </x:c>
      <x:c r="R97" s="8" t="str">
        <x:v>yes</x:v>
      </x:c>
      <x:c r="S97" s="8" t="str">
        <x:v>yes</x:v>
      </x:c>
      <x:c r="T97" s="7" t="str">
        <x:v>Reviewed against title, duties, mapped skills and detection sources.</x:v>
      </x:c>
    </x:row>
    <x:row r="98">
      <x:c r="A98" s="5" t="str">
        <x:v>soft_only</x:v>
      </x:c>
      <x:c r="B98" s="5" t="str">
        <x:v>27716712</x:v>
      </x:c>
      <x:c r="C98" s="7" t="str">
        <x:v>Site Manager F/M</x:v>
      </x:c>
      <x:c r="D98" s="7" t="str">
        <x:v>For this agency, we are looking for a Civil Engineering Site Manager who will work on a predominantly industrial area around Marseille (Bouches Du Rhône). You are responsible for carrying out the work in accordance with the instructions of the Works Manager. To do this, you: - Direct and carry out the work on a site or a sector of the site, - Manage the team leaders and supervise the execution staff, - You ensure the proper use of the equipment, - Report particular points and non-conformities to the works manager, - Enforce the PPSPS, - Receive the site supplies, - Assist the teams in the execution of complex tasks, - Establish site logs and daily shift reports, - Ensure the application of directives and regulations, particularly in terms of safety. These missions may be adjusted or evolved depending on the activity. Bac/Bac+2 training with a specialization in construction/GC, you have at least 10 years of experience in a similar position. You master the processes related to the implementation and production of a GC site as well as the industrial environment. You also have managerial skills allowing you to lead a small team in production. The B license is mandatory. 5 reasons to join Razel-Bec: - A committed company with strong values ​​- Close and attentive managers - Jobs that make sense with passionate teams - Highlights promoting team spirit - Development opportunities for everyone Aim right and join RAZEL-BEC</x:v>
      </x:c>
      <x:c r="E98" s="5" t="str">
        <x:v>47500.0</x:v>
      </x:c>
      <x:c r="F98" s="5" t="str">
        <x:v>0dd7e6cd-2e5a-4fae-9ce0-6a3622d4019f</x:v>
      </x:c>
      <x:c r="G98" s="7" t="str">
        <x:v>["check diving equipment", "lead a team"]</x:v>
      </x:c>
      <x:c r="H98" s="7" t="str">
        <x:v>[]</x:v>
      </x:c>
      <x:c r="I98" s="7" t="str">
        <x:v>["lead a team"]</x:v>
      </x:c>
      <x:c r="J98" s="7" t="str">
        <x:v>[]</x:v>
      </x:c>
      <x:c r="K98" s="7" t="str">
        <x:v>[]</x:v>
      </x:c>
      <x:c r="L98" s="7" t="str">
        <x:v>[]</x:v>
      </x:c>
      <x:c r="M98" s="7" t="str">
        <x:v>[]</x:v>
      </x:c>
      <x:c r="N98" s="7" t="str">
        <x:v>[]</x:v>
      </x:c>
      <x:c r="O98" s="7" t="str">
        <x:v>[]</x:v>
      </x:c>
      <x:c r="P98" s="7" t="str">
        <x:v>["leadership"]</x:v>
      </x:c>
      <x:c r="Q98" s="8" t="str">
        <x:v>no</x:v>
      </x:c>
      <x:c r="R98" s="8" t="str">
        <x:v>yes</x:v>
      </x:c>
      <x:c r="S98" s="8" t="str">
        <x:v>yes</x:v>
      </x:c>
      <x:c r="T98" s="7" t="str">
        <x:v>Reviewed against title, duties, mapped skills and detection sources.</x:v>
      </x:c>
    </x:row>
    <x:row r="99">
      <x:c r="A99" s="5" t="str">
        <x:v>soft_only</x:v>
      </x:c>
      <x:c r="B99" s="5" t="str">
        <x:v>27812138</x:v>
      </x:c>
      <x:c r="C99" s="7" t="str">
        <x:v>Accounting Associate (M/F)</x:v>
      </x:c>
      <x:c r="D99" s="7" t="str">
        <x:v>Our firm ALTINEO supports a family accounting firm looking for an Accounting Collaborator - Portfolio Manager M/F to join the teams located in Espalion (12). Their approach is simple: a close team, tailor-made support, and a real desire to support their clients at each stage of their development. Are you looking to evolve in an environment where people and conviviality are at the heart of the priorities? This structure does not simply offer a position, but a real opportunity to grow, learn, and contribute to a positive and caring team dynamic. Directly reporting to the Head of Mission, your main missions will be: - The complete management of a portfolio with a diversified clientele - The preparation of balance sheets, packages and the presentation of these balance sheets - Participation in exceptional missions: dashboards, forecasts, reporting - Support &amp; management of customer relations Possibility of adapting the position according to your skills and your prospects for development. In addition, they offer: - A family working environment, where everyone has their place and is respected - Regular training to develop at your own pace - Flexible hours and the possibility of teleworking - Financial benefits: restaurant vouchers, bonuses You have a minimum of Bac +2 level training with a specialization in accounting, and ideally, you have 2 years of experience in a firm. You are recognized for your rigor, appreciate teamwork, and have excellent interpersonal skills and adaptability, necessary due to the diversity of the firm's clientele. If this position catches your attention, do not hesitate to send us your CV.</x:v>
      </x:c>
      <x:c r="E99" s="5" t="str">
        <x:v>35000.0</x:v>
      </x:c>
      <x:c r="F99" s="5" t="str">
        <x:v>1ad59946-d13e-441e-9b36-56e1df055e21</x:v>
      </x:c>
      <x:c r="G99" s="7" t="str">
        <x:v>["accounting", "adapt to change"]</x:v>
      </x:c>
      <x:c r="H99" s="7" t="str">
        <x:v>[]</x:v>
      </x:c>
      <x:c r="I99" s="7" t="str">
        <x:v>["adapt to change"]</x:v>
      </x:c>
      <x:c r="J99" s="7" t="str">
        <x:v>[]</x:v>
      </x:c>
      <x:c r="K99" s="7" t="str">
        <x:v>[]</x:v>
      </x:c>
      <x:c r="L99" s="7" t="str">
        <x:v>[]</x:v>
      </x:c>
      <x:c r="M99" s="7" t="str">
        <x:v>[]</x:v>
      </x:c>
      <x:c r="N99" s="7" t="str">
        <x:v>[]</x:v>
      </x:c>
      <x:c r="O99" s="7" t="str">
        <x:v>[]</x:v>
      </x:c>
      <x:c r="P99" s="7" t="str">
        <x:v>["adaptability"]</x:v>
      </x:c>
      <x:c r="Q99" s="8" t="str">
        <x:v>no</x:v>
      </x:c>
      <x:c r="R99" s="8" t="str">
        <x:v>yes</x:v>
      </x:c>
      <x:c r="S99" s="8" t="str">
        <x:v>yes</x:v>
      </x:c>
      <x:c r="T99" s="7" t="str">
        <x:v>Reviewed against title, duties, mapped skills and detection sources.</x:v>
      </x:c>
    </x:row>
    <x:row r="100">
      <x:c r="A100" s="5" t="str">
        <x:v>soft_only</x:v>
      </x:c>
      <x:c r="B100" s="5" t="str">
        <x:v>27930278</x:v>
      </x:c>
      <x:c r="C100" s="7" t="str">
        <x:v>Accounting Associate M/F</x:v>
      </x:c>
      <x:c r="D100" s="7" t="str">
        <x:v>We are looking for an ACS Accounting Associate F/M on a permanent contract. In collaboration with a head of mission, you will be responsible for: - Managing the accounting of a varied clientele (BIC, BNC, agricultural sector and others). - Carry out the review of accounts and the establishment of balance sheets. - Participate in the development of forecasts and dashboards. - Maintain a direct relationship with clients to advise them and optimize their accounting management. The firm places particular emphasis on advice, and you will be required to contact clients regularly to provide them with relevant advice. We are looking for a candidate with a diploma in accounting (DCG or equivalent) and with initial successful experience in an accounting firm. You are autonomous, rigorous and have good interpersonal skills. You have mastered accounting tools and are open to agricultural activity while appreciating the diversity of other sectors. Good interpersonal skills are essential, because you are not afraid to pick up the phone to communicate with your customers and support them. Remuneration: Between 30kEUR and 35kEUR, with 13th month, profit-sharing bonuses, performance bonuses, teleworking (1 day/week after 6 months), mutual insurance, pension, additional pension, free parking.</x:v>
      </x:c>
      <x:c r="E100" s="5" t="str">
        <x:v>32500.0</x:v>
      </x:c>
      <x:c r="F100" s="5" t="str">
        <x:v>eda0d957-3c3c-4139-b89a-a18bc9e18897</x:v>
      </x:c>
      <x:c r="G100" s="7" t="str">
        <x:v>["accounting", "consult with business clients", "follow up accounts receivables"]</x:v>
      </x:c>
      <x:c r="H100" s="7" t="str">
        <x:v>[]</x:v>
      </x:c>
      <x:c r="I100" s="7" t="str">
        <x:v>["consult with business clients"]</x:v>
      </x:c>
      <x:c r="J100" s="7" t="str">
        <x:v>[]</x:v>
      </x:c>
      <x:c r="K100" s="7" t="str">
        <x:v>[]</x:v>
      </x:c>
      <x:c r="L100" s="7" t="str">
        <x:v>[]</x:v>
      </x:c>
      <x:c r="M100" s="7" t="str">
        <x:v>[]</x:v>
      </x:c>
      <x:c r="N100" s="7" t="str">
        <x:v>[]</x:v>
      </x:c>
      <x:c r="O100" s="7" t="str">
        <x:v>[]</x:v>
      </x:c>
      <x:c r="P100" s="7" t="str">
        <x:v>["customer_interaction"]</x:v>
      </x:c>
      <x:c r="Q100" s="8" t="str">
        <x:v>no</x:v>
      </x:c>
      <x:c r="R100" s="8" t="str">
        <x:v>yes</x:v>
      </x:c>
      <x:c r="S100" s="8" t="str">
        <x:v>yes</x:v>
      </x:c>
      <x:c r="T100" s="7" t="str">
        <x:v>Reviewed against title, duties, mapped skills and detection sources.</x:v>
      </x:c>
    </x:row>
    <x:row r="101">
      <x:c r="A101" s="5" t="str">
        <x:v>soft_only</x:v>
      </x:c>
      <x:c r="B101" s="5" t="str">
        <x:v>27949280</x:v>
      </x:c>
      <x:c r="C101" s="7" t="str">
        <x:v>(M/F) R&amp;D Engineer</x:v>
      </x:c>
      <x:c r="D101" s="7" t="str">
        <x:v>I am recruiting for my client, an innovative and growing company, specializing in technical textiles and composite solutions for cutting-edge industrial applications. Attached to general management and under the responsibility of the Manager of one of the key divisions of the structure (specialized in composite materials), your main mission will be to manage innovative product development projects in this area. You will play a strategic role by contributing to the direction of the group's innovation, from the design of solutions to their industrialization. Your main missions will include: Product Design and Development: - Manage all new product development projects. - Evaluate the financial feasibility and market attractiveness of new projects. - Manage the economic aspects of projects (costs, budgets) and ensure their technical and commercial relevance. - Optimize the resources and operating methods of project teams. - Establish, monitor and guarantee compliance with schedules. - Lead and analyze projects (kick-off, KPI monitoring, ROI reports). - Coordinate internal and external contributors (customers, suppliers, sales teams). - Organize and supervise R&amp;D tests (formulation, external tests, prototypes). - Set up and manage information and communication systems linked to projects. - Monitor the industrialization of new products. - Manage intellectual property procedures (patents) if necessary. Strategic and Commercial Contribution: - Evaluate, validate and launch projects in collaboration with the commercial teams (benchmark, needs analysis). - Lead technical meetings. - Manage and validate the analysis of samples (customers/competitors) with the technical teams. - Ensure internal and external reporting. - Guarantee rigorous monitoring of projects according to current quality standards (configuration management, design files, etc.). - Carry out constant technological and supplier monitoring. -Participate in the annual monitoring and declaration of innovation tax credits in conjunction with external and internal partners Profile sought: Engineer (Bac + 5) with initial successful experience in R&amp;D, ideally in composite materials, plastics processing, polymers or chemistry. Key skills: Leadership &amp; Project Management: Dynamism, proactivity, strong capacity for initiative, rigor in risk assessment, excellent organizational skills, analytical mind and anticipation to lead R&amp;D projects methodically and efficiently. Innovation: Passionate about innovation and the development of new products. Communication &amp; Collaboration: Excellent communication skills (internal/external) to transmit clear and precise technical information, ability to supervise, motivate and unite a team in a collaborative environment. Technical: Mastery of IT tools (including specialized software) and excellent command of English for international technical exchanges.</x:v>
      </x:c>
      <x:c r="E101" s="5" t="str">
        <x:v>65000.0</x:v>
      </x:c>
      <x:c r="F101" s="5" t="str">
        <x:v>6fc8f605-98b9-4218-b5e2-91c4c9c55c4d</x:v>
      </x:c>
      <x:c r="G101" s="7" t="str">
        <x:v>["assess financial viability", "design prototypes", "develop new products", "develop specifications of technical textiles", "hardware components suppliers", "identify customer's needs", "make strategic business decisions", "manage sales teams", "motivate others", "organise project meetings", "risk management", "show initiative", "strive for company growth", "supervision of persons", "think analytically"]</x:v>
      </x:c>
      <x:c r="H101" s="7" t="str">
        <x:v>[]</x:v>
      </x:c>
      <x:c r="I101" s="7" t="str">
        <x:v>["identify customer's needs", "motivate others", "show initiative", "think analytically"]</x:v>
      </x:c>
      <x:c r="J101" s="7" t="str">
        <x:v>[]</x:v>
      </x:c>
      <x:c r="K101" s="7" t="str">
        <x:v>[]</x:v>
      </x:c>
      <x:c r="L101" s="7" t="str">
        <x:v>[]</x:v>
      </x:c>
      <x:c r="M101" s="7" t="str">
        <x:v>[]</x:v>
      </x:c>
      <x:c r="N101" s="7" t="str">
        <x:v>[]</x:v>
      </x:c>
      <x:c r="O101" s="7" t="str">
        <x:v>[]</x:v>
      </x:c>
      <x:c r="P101" s="7" t="str">
        <x:v>["customer_interaction", "initiative_responsibility", "leadership", "problem_solving"]</x:v>
      </x:c>
      <x:c r="Q101" s="8" t="str">
        <x:v>no</x:v>
      </x:c>
      <x:c r="R101" s="8" t="str">
        <x:v>yes</x:v>
      </x:c>
      <x:c r="S101" s="8" t="str">
        <x:v>yes</x:v>
      </x:c>
      <x:c r="T101" s="7" t="str">
        <x:v>Reviewed against title, duties, mapped skills and detection sources.</x:v>
      </x:c>
    </x:row>
    <x:row r="102">
      <x:c r="A102" s="5" t="str">
        <x:v>data</x:v>
      </x:c>
      <x:c r="B102" s="5" t="str">
        <x:v>ghzfiirl1a</x:v>
      </x:c>
      <x:c r="C102" s="7" t="str">
        <x:v>Python Developer - National Data Operations Unit (M/F)</x:v>
      </x:c>
      <x:c r="D102" s="7" t="str">
        <x:v>RESPONSIBILITIES: The national data exploitation unit intervenes on public products or services to meet external needs, by creating automatable deliverables which generate a measurable impact, both in terms of profitability and influence. Why join us? • Join a dynamic team, committed to the modernization of craft services • Participate in a structuring project around data, mapping, analysis and visualization • Benefit from an opportunity to evolve towards technical responsibilities or around data, within the Chamber of Trades and Crafts Under the responsibility of the Product Owner and in collaboration with the data exploitation unit team, you will have to: • Participate in the needs analysis business and the drafting of technical specifications (back-end and front-end); • Develop back-end functionalities in Python; • Develop front-end interfaces (with the Django framework) and ensure a good responsive user experience; • Implement data exports (PDF, CSV), iframe integrations, map modules and geographic/historical filters; • Carry out unit/integration testing, code review and participate in quality assurance of deliverables; • Ensure the performance, security and maintainability of the application; • Contribute to technical documentation, production launch and corrective/evolutionary maintenance. Sharing the link to your work (GitHub, personal projects) will be welcome. PROFILE WANTED: You have a Bac+3 to Bac+5 level in Computer Science or equivalent and two years of successful experience (including internships) in full-stack development. KNOW-HOW • Python and at least one Python web framework (Django, Flask, FastAPI, etc.) • Relational databases (PostgreSQL, MySQL) and/or NoSQL • Initial experience or appetite for developing cartographic or data visualization modules is a plus • JavaScript/TypeScript and experience with the Angular Framework is a plus • A quality, testing and documentation approach and sensitivity to data security and compliance (GDPR) KNOWLEDGE BE • Sense of teamwork • Rigor • Curiosity and ability to learn quickly • Good interpersonal skills to collaborate with business profiles and data profiles</x:v>
      </x:c>
      <x:c r="E102" s="5" t="str">
        <x:v>42224.0</x:v>
      </x:c>
      <x:c r="F102" s="5" t="str">
        <x:v>f2b15a0e-e65a-438a-affb-29b9d50b77d1</x:v>
      </x:c>
      <x:c r="G102" s="7" t="str">
        <x:v>["NoSQL", "PostgreSQL", "Python (computer programming)", "business requirements techniques", "cartography", "coordinate security", "define technical requirements", "demonstrate curiosity", "execute integration testing", "maintain responsive design", "promote ideas, products, services ", "provide technical documentation", "provide user documentation"]</x:v>
      </x:c>
      <x:c r="H102" s="7" t="str">
        <x:v>["NoSQL", "PostgreSQL", "Python (computer programming)"]</x:v>
      </x:c>
      <x:c r="I102" s="7" t="str">
        <x:v>["demonstrate curiosity"]</x:v>
      </x:c>
      <x:c r="J102" s="7" t="str">
        <x:v>["data_analysis", "data_engineering"]</x:v>
      </x:c>
      <x:c r="K102" s="7" t="str">
        <x:v>["software"]</x:v>
      </x:c>
      <x:c r="L102" s="7" t="str">
        <x:v>["data_engineering", "software"]</x:v>
      </x:c>
      <x:c r="M102" s="7" t="str">
        <x:v>["data_analysis", "data_engineering", "software"]</x:v>
      </x:c>
      <x:c r="N102" s="7" t="str">
        <x:v>["data_engineering", "software"]</x:v>
      </x:c>
      <x:c r="O102" s="7" t="str">
        <x:v>["esco", "title", "description"]</x:v>
      </x:c>
      <x:c r="P102" s="7" t="str">
        <x:v>["creativity"]</x:v>
      </x:c>
      <x:c r="Q102" s="8" t="str">
        <x:v>yes</x:v>
      </x:c>
      <x:c r="R102" s="8" t="str">
        <x:v>yes</x:v>
      </x:c>
      <x:c r="S102" s="8" t="str">
        <x:v>yes</x:v>
      </x:c>
      <x:c r="T102" s="7" t="str">
        <x:v>Reviewed against title, duties, mapped skills and detection sources.</x:v>
      </x:c>
    </x:row>
    <x:row r="103">
      <x:c r="A103" s="5" t="str">
        <x:v>data</x:v>
      </x:c>
      <x:c r="B103" s="5" t="str">
        <x:v>SOFTY_PE_V2_187872_LOC_0</x:v>
      </x:c>
      <x:c r="C103" s="7" t="str">
        <x:v>ASSISTANT IN BIOLOGY - M/F</x:v>
      </x:c>
      <x:c r="D103" s="7" t="str">
        <x:v>Description: The MeLiS laboratory within the NeuroMyoGène Institute brings together several teams studying the molecular and cellular mechanisms controlling the functioning of the neuromuscular and nervous systems, relying on a wide range of experimental models and cutting-edge microscopy techniques. MAIN ACTIVITIES * Plan and carry out high-throughput behavioral tests in zebrafish larvae (habituation, acoustic startle, optomotor response, location preference) under exposure to ethanol * Implement immunostaining protocols (pERK / MAP-Mapping) * Perform confocal and/or two-photon microscopy experiments * Prepare, conduct and monitor pharmacological exposures (ethanol, compounds targeting GABAergic, glutamatergic and dopaminergic systems) * Participate in the production, maintenance and monitoring of the larvae necessary for the project, in connection with the zebrafish platform * Ensure the processing, quantitative analysis and archiving of data from behavioral tests and imaging * Write experimental reports and contribute to the preparation of figures, scientific presentations and manuscripts Profile sought: KNOWLEDGE * Neuroscience, physiology or biology cellular and molecular * Experimental methodology in biology and solid foundations in statistical data analysis * Knowledge of animal behavior and/or the neurobiology of addiction appreciated * Notions in fluorescence imaging (confocal microscopy, two-photons) desired KNOW-HOW * Independently carry out experimental protocols (preparation of animals, preparation of solutions, pharmacology, monitoring of cohorts) * Implement immunostaining and microscopy techniques of fluorescence * Process and analyze quantitative data (Excel, R, Python or equivalent software) and produce quality graphic representations * Document experiments precisely (laboratory notebook, traceability of samples, analysis files) SKILLS * Experimental rigor, sense of organization and reliability in managing several experiments in parallel * Taste for teamwork and good communication skills with members of the laboratory and technical platforms * Autonomy, scientific curiosity and ability to propose adjustments or protocol optimizations * Fluency in reading scientific English (articles, protocols) and ability to communicate in writing in English in a research context</x:v>
      </x:c>
      <x:c r="E103" s="5" t="str">
        <x:v>31644.0</x:v>
      </x:c>
      <x:c r="F103" s="5" t="str">
        <x:v>2e8820ba-5b2d-4572-92a1-942dbd02a6d6</x:v>
      </x:c>
      <x:c r="G103" s="7" t="str">
        <x:v>["Python (computer programming)", "communicate with a non-scientific audience ", "demonstrate curiosity", "human physiology", "manage maintenance operations", "neuroanatomy", "pharmacology", "quantitative analysis"]</x:v>
      </x:c>
      <x:c r="H103" s="7" t="str">
        <x:v>["Python (computer programming)"]</x:v>
      </x:c>
      <x:c r="I103" s="7" t="str">
        <x:v>["communicate with a non-scientific audience ", "demonstrate curiosity"]</x:v>
      </x:c>
      <x:c r="J103" s="7" t="str">
        <x:v>["data_analysis"]</x:v>
      </x:c>
      <x:c r="K103" s="7" t="str">
        <x:v>[]</x:v>
      </x:c>
      <x:c r="L103" s="7" t="str">
        <x:v>["data_analysis"]</x:v>
      </x:c>
      <x:c r="M103" s="7" t="str">
        <x:v>["data_analysis"]</x:v>
      </x:c>
      <x:c r="N103" s="7" t="str">
        <x:v>["data_analysis"]</x:v>
      </x:c>
      <x:c r="O103" s="7" t="str">
        <x:v>["esco", "description"]</x:v>
      </x:c>
      <x:c r="P103" s="7" t="str">
        <x:v>["communication", "creativity"]</x:v>
      </x:c>
      <x:c r="Q103" s="8" t="str">
        <x:v>yes</x:v>
      </x:c>
      <x:c r="R103" s="8" t="str">
        <x:v>yes</x:v>
      </x:c>
      <x:c r="S103" s="8" t="str">
        <x:v>yes</x:v>
      </x:c>
      <x:c r="T103" s="7" t="str">
        <x:v>Reviewed against title, duties, mapped skills and detection sources.</x:v>
      </x:c>
    </x:row>
    <x:row r="104">
      <x:c r="A104" s="5" t="str">
        <x:v>data</x:v>
      </x:c>
      <x:c r="B104" s="5" t="str">
        <x:v>44aea00c-98d8-4b22-bd1f-e8e62a9c0917</x:v>
      </x:c>
      <x:c r="C104" s="7" t="str">
        <x:v>Consultant.e Data Engineer Microsoft Fabric F/H - Valoway</x:v>
      </x:c>
      <x:c r="D104" s="7" t="str">
        <x:v>We are exclusively looking for experienced profiles on the Microsoft Azure and Fabric platform, with a minimum of 5 years of experience as a Data Engineer. You will join our community of Data Engineers and Data Architects at the heart of our Data Platform division to enhance data and optimize our clients' analytical processes on Microsoft Fabric. - Ensure the development and deployment of data pipelines, that they are secure and efficient both from an operational point of view and in FinOps terms in order to serve the scaling of our DATA and AI use cases. - Design, audit and industrialize the most suitable and efficient solutions by embedding Fabric technologies in order to respond to the various performance and transformation challenges of our customers. - Lead and support Data and business communities, external or internal to Valoway, in the adoption of best practices and ensure their skills development on Fabric technologies. - Promote our Microsoft partnership by integrating the latest Azure and Fabric technological innovations into our solutions and by representing Valoway at events, webinars and communications. - Carry out continuous monitoring of the state of the art of Data and Cloud technologies, and ensure its sharing with the different divisions and communities, within Valoway and with your customers. - Be a stakeholder in Valoway's cross-functional projects: Communication and conferences, Recruitment, centers of excellence, pre-sales, consulting and framing missions, REX, webinars, etc. Our main technical environments: - Data Platforms: Fabric, Azure - Data Integration: Data fusion, Big Query, Data factory, Spark, Python, Talend, Informatica, etc. - Databases: SQL/NoSQL - Visualization: Power BI, Tableau Software, Google Data Studio, Looker, etc. You wish Find out more about the Data Engineer position at Valoway? Our team talks about it best: Interview with Romain, data engineer at Valoway What we offer: - An indicative salary between €50,000 and €60,000 gross annually (depending on experience and profile). - RTT and SWILE restaurant card. - An agile environment, with a hybrid working mode depending on the subjects to be carried out (Valoway offices, at the client's site, teleworking). - Local management and prospects for skills development with individualized support. - A company on a human scale and an approach based on proximity, with our customers and our collaborators. You have experience of at least 5 years, including: - Mastery of tools and methods in integration, data modeling and DevOps. - Experience on modern data platform projects based on the Microsoft Fabric platform. - An ability to popularize technical solutions for business teams and decision-makers, with a service and customer success-oriented approach. - Microsoft Fabric Data Engineer Associate (DP-700) certification is highly appreciated! Joining us as a consultant at Valoway is also a state of mind: - Autonomy in customer relations - Spirit of initiative and curiosity - Collaboration and sense of sharing - Mobility to meet the needs of our customers (travel possible) Does this position suit you? Would you like to know more? Send us your application! Our recruitment process for this position: - An initial discussion with Emma, ​​our HR, to understand your project. - A second technical and cultural exchange with our consultants to discover our daily life and take you on board with our vision! - A final meeting with Louis-Vincent (founder) and Gwénolé (director) to share with you the challenges of Valoway. The average duration of the process is one month and can be adapted according to your obligations, we are flexible!</x:v>
      </x:c>
      <x:c r="E104" s="5" t="str">
        <x:v>55000.0</x:v>
      </x:c>
      <x:c r="F104" s="5" t="str">
        <x:v>d3edb8f8-3a06-47a0-8fb9-9b212c006aa2</x:v>
      </x:c>
      <x:c r="G104" s="7" t="str">
        <x:v>["Agile development", "DevOps", "Python (computer programming)", "cloud technologies", "communication studies", "conduct financial audits", "consult with business clients", "data engineering", "data models", "make decisions", "recruit personnel"]</x:v>
      </x:c>
      <x:c r="H104" s="7" t="str">
        <x:v>["DevOps", "Python (computer programming)", "data engineering"]</x:v>
      </x:c>
      <x:c r="I104" s="7" t="str">
        <x:v>["communication studies", "consult with business clients", "make decisions"]</x:v>
      </x:c>
      <x:c r="J104" s="7" t="str">
        <x:v>["cloud_devops", "data_analysis", "data_engineering"]</x:v>
      </x:c>
      <x:c r="K104" s="7" t="str">
        <x:v>["data_engineering"]</x:v>
      </x:c>
      <x:c r="L104" s="7" t="str">
        <x:v>["data_analysis", "data_engineering", "cloud_devops"]</x:v>
      </x:c>
      <x:c r="M104" s="7" t="str">
        <x:v>["cloud_devops", "data_analysis", "data_engineering"]</x:v>
      </x:c>
      <x:c r="N104" s="7" t="str">
        <x:v>["data_analysis", "data_engineering", "cloud_devops"]</x:v>
      </x:c>
      <x:c r="O104" s="7" t="str">
        <x:v>["esco", "title", "description"]</x:v>
      </x:c>
      <x:c r="P104" s="7" t="str">
        <x:v>["communication", "customer_interaction", "problem_solving"]</x:v>
      </x:c>
      <x:c r="Q104" s="8" t="str">
        <x:v>yes</x:v>
      </x:c>
      <x:c r="R104" s="8" t="str">
        <x:v>yes</x:v>
      </x:c>
      <x:c r="S104" s="8" t="str">
        <x:v>yes</x:v>
      </x:c>
      <x:c r="T104" s="7" t="str">
        <x:v>Reviewed against title, duties, mapped skills and detection sources.</x:v>
      </x:c>
    </x:row>
    <x:row r="105">
      <x:c r="A105" s="5" t="str">
        <x:v>data</x:v>
      </x:c>
      <x:c r="B105" s="5" t="str">
        <x:v>ebfsstx2ey</x:v>
      </x:c>
      <x:c r="C105" s="7" t="str">
        <x:v>Application integrator M/F</x:v>
      </x:c>
      <x:c r="D105" s="7" t="str">
        <x:v>RESPONSIBILITIES: Within a large group in the healthcare field, you will join the “infrastructure and integration” team and you will participate in the deployment and technical administration of business applications. PROFILE WANTED: · Qualification: a higher education diploma in IT is required (Bac+2/3 minimum) · Experience: you have several years of successful experience as a system administrator in a Windows and Linux environment, and you have mastery of Oracle databases. · Technical skills: administration of Windows and Linux systems, database administration (Oracle, SQL Server, MySQL and PostgreSQL), automation and scripting, solution deployment and integration, study of new solutions, incident resolution, production of documentation. · Soft skills: you are characterized by your team spirit, your rigor and your autonomy. You have developed adaptability and know how to be proactive. You know how to manage priorities and are organized.[SL1] You are proactive and you have good interpersonal skills.</x:v>
      </x:c>
      <x:c r="E105" s="5" t="str">
        <x:v>39000.0</x:v>
      </x:c>
      <x:c r="F105" s="5" t="str">
        <x:v>9e2e6e1e-363b-4e1b-a673-7bc0f7343300</x:v>
      </x:c>
      <x:c r="G105" s="7" t="str">
        <x:v>["Oracle Relational Database", "PostgreSQL", "SQL Server", "automation technology", "database management systems", "operating systems", "provide user documentation", "solution deployment", "use scripting programming"]</x:v>
      </x:c>
      <x:c r="H105" s="7" t="str">
        <x:v>["Oracle Relational Database", "PostgreSQL", "SQL Server", "database management systems"]</x:v>
      </x:c>
      <x:c r="I105" s="7" t="str">
        <x:v>[]</x:v>
      </x:c>
      <x:c r="J105" s="7" t="str">
        <x:v>["data_analysis", "data_engineering"]</x:v>
      </x:c>
      <x:c r="K105" s="7" t="str">
        <x:v>[]</x:v>
      </x:c>
      <x:c r="L105" s="7" t="str">
        <x:v>["data_engineering", "networks_systems"]</x:v>
      </x:c>
      <x:c r="M105" s="7" t="str">
        <x:v>["data_analysis", "data_engineering", "networks_systems"]</x:v>
      </x:c>
      <x:c r="N105" s="7" t="str">
        <x:v>["data_engineering"]</x:v>
      </x:c>
      <x:c r="O105" s="7" t="str">
        <x:v>["esco", "description"]</x:v>
      </x:c>
      <x:c r="P105" s="7" t="str">
        <x:v>[]</x:v>
      </x:c>
      <x:c r="Q105" s="8" t="str">
        <x:v>yes</x:v>
      </x:c>
      <x:c r="R105" s="8" t="str">
        <x:v>yes</x:v>
      </x:c>
      <x:c r="S105" s="8" t="str">
        <x:v>yes</x:v>
      </x:c>
      <x:c r="T105" s="7" t="str">
        <x:v>Reviewed against title, duties, mapped skills and detection sources.</x:v>
      </x:c>
    </x:row>
    <x:row r="106">
      <x:c r="A106" s="5" t="str">
        <x:v>data</x:v>
      </x:c>
      <x:c r="B106" s="5" t="str">
        <x:v>26xm3c6l0m</x:v>
      </x:c>
      <x:c r="C106" s="7" t="str">
        <x:v>DBA Engineer (M/F)</x:v>
      </x:c>
      <x:c r="D106" s="7" t="str">
        <x:v>RESPONSIBILITIES: Through its Workplace Infra Innovation brand, the Services activity in the Occitanie region supports more than 40 major clients and public institutions in all sectors of activity in the transformation of their information system, through the provision of human and technical resources. What awaits you: Within a public organization in the health field, you will join a service comprising a team of 7 Systems/Network Engineers and Administrators. Your responsibilities: • Create, configure, size databases while ensuring quality and security • Carry out audits and monitor the performance of Windows/Linux systems • Set up monitoring tools (Shell and PowerShell scripts) • Set up backup and restoration strategies • Partition large volume tables • Create indexing plans • Check the availability of bases and the operation of backups • Advise users in order to improve availability, performance but also the sizing of servers The technical environment: Oracle, PostgreSQL, SQL / Mysql / MariaDB, Windows systems, Linux, PowerShell, SAP 4HANA, Sybase, Docker, Git, Gitlab What we offer you: Values: in addition to our 3 fundamentals which are boldness, good faith and responsiveness, we guarantee attentive and close management, as well as a family atmosphere Contract: open to profiles looking for a permanent contract with an ideal start in February 2026. We also accept notice Location: major account customer service in Paris 13th with 2 days of teleworking per week. Remuneration &amp; benefits package: • Salary: gross annual remuneration according to profile and skills • The basics: family mutual insurance and welfare, meal vouchers, 50% public transport reimbursement, CSE benefits (culture, travel, holiday vouchers, and gifts), RTT (up to 12 per year), savings plan, participation bonus • Our pluses: soft &amp; Green mobility package (bike/scooter and carpooling), co-optation bonus of €1,000 gross, computer equipment e-shop at preferential prices (smartphone, tablet, etc.) • Your career: career plan, technical &amp; functional training systems, passing certifications, unlimited access to Microsoft Learn • Quality of life at work: teleworking with compensation, festive and collaborative events, disability and health support at work, CSR commitments. PROFILE WANTED: • Qualification: a higher education diploma in IT is required (Bac+4 or Bac+5) • Experience: you have at least 4 years in an identical position. You have a good command of databases (PostgreSQL/ Oracle / SQL / Mysql / MariaDB) • Technical skills: problem management, incident resolution, automation and scripting, production of documentation, administration of on-premise and cloud infrastructures • Soft skills: You are a punctual, rigorous and organized person. Your ability to listen, your agility and your responsiveness allow you to manage priorities. You are a good communicator and enjoy teamwork. You are committed to managing customer satisfaction.</x:v>
      </x:c>
      <x:c r="E106" s="5" t="str">
        <x:v>52500.0</x:v>
      </x:c>
      <x:c r="F106" s="5" t="str">
        <x:v>8c57af09-719c-42b3-be40-6ed4946236cc</x:v>
      </x:c>
      <x:c r="G106" s="7" t="str">
        <x:v>["PostgreSQL", "automation technology", "consult with business clients", "execute ICT audits", "manage personal progression", "operating systems", "provide user documentation", "use scripting programming"]</x:v>
      </x:c>
      <x:c r="H106" s="7" t="str">
        <x:v>["PostgreSQL"]</x:v>
      </x:c>
      <x:c r="I106" s="7" t="str">
        <x:v>["consult with business clients"]</x:v>
      </x:c>
      <x:c r="J106" s="7" t="str">
        <x:v>["data_engineering"]</x:v>
      </x:c>
      <x:c r="K106" s="7" t="str">
        <x:v>["data_engineering"]</x:v>
      </x:c>
      <x:c r="L106" s="7" t="str">
        <x:v>["data_engineering", "cloud_devops", "networks_systems"]</x:v>
      </x:c>
      <x:c r="M106" s="7" t="str">
        <x:v>["cloud_devops", "data_engineering", "networks_systems"]</x:v>
      </x:c>
      <x:c r="N106" s="7" t="str">
        <x:v>["data_engineering"]</x:v>
      </x:c>
      <x:c r="O106" s="7" t="str">
        <x:v>["esco", "title", "description"]</x:v>
      </x:c>
      <x:c r="P106" s="7" t="str">
        <x:v>["customer_interaction"]</x:v>
      </x:c>
      <x:c r="Q106" s="8" t="str">
        <x:v>yes</x:v>
      </x:c>
      <x:c r="R106" s="8" t="str">
        <x:v>yes</x:v>
      </x:c>
      <x:c r="S106" s="8" t="str">
        <x:v>yes</x:v>
      </x:c>
      <x:c r="T106" s="7" t="str">
        <x:v>Reviewed against title, duties, mapped skills and detection sources.</x:v>
      </x:c>
    </x:row>
    <x:row r="107">
      <x:c r="A107" s="5" t="str">
        <x:v>data</x:v>
      </x:c>
      <x:c r="B107" s="5" t="str">
        <x:v>001736</x:v>
      </x:c>
      <x:c r="C107" s="7" t="str">
        <x:v>Experienced BI Consultant M/F</x:v>
      </x:c>
      <x:c r="D107" s="7" t="str">
        <x:v>The company supported and the missions: Join a growing company supported by Externatic, permanent position in Lyon in St Didier au Mont d'Or or in Grenoble in St Jean de Moirans. Do you want to join a dynamic, fast-growing company that combines technical expertise and a detailed understanding of HR, accounting and financial professions? This company continues its development by strengthening its Business Intelligence division. It offers its clients – SMEs and ETIs – data integration and enhancement solutions with high added value, enabling them to optimize their management and decision-making. Innovation and customer proximity are at the heart of its strategy: the BI team designs high-performance reporting, dashboards and data modeling solutions, while exploring new technologies to support the digital transformation of companies. Within the BI department, you will work on various projects combining technical, consulting and customer support. Your main responsibilities will be to: Collect and analyze customers' business needs (HR, finance, management, etc.) Design and model data sets Create and maintain dashboards and decision-making reports in Power BI Deploy solutions and train users Advise customers in the use of their data Participate in technology monitoring to test and integrate new BI tools As a technical referent, you will also be required to: Support and improve the skills of new employees Share best practices and lead the internal BI community Support users in their daily issues Profile: With higher education in IT or business intelligence, you have successful experience (4 to 7 years) in a BI Consultant position. You combine technical expertise and interpersonal skills, and know how to communicate with both IT departments and business users. Expected technical skills: BI tools: Power BI, Power Query Databases: SQL Popular tools: MyReport, Tableau Software, QlikView, Talend, SSIS Knowledge of payroll/HR, accounting or commercial management will be an asset. You are recognized for your autonomy, your rigor, and your technical curiosity. Equivalent technologies are of course welcome. Advantages: What you will gainFriendly, human-scale working environment - Local management and strong team spirit - Regular corporate events - Pleasant premises, easily accessible Working conditions - Salary: €43,000 to €47,000 / year depending on profile and experience - Teleworking: possible - Location: Saint-Didier-au-Mont-d'Or or Saint-Jean-de-Moirans The recruitment process: An initial exchange with Ms. Audrey THIERY from the externatic firm. Interview with the company to meet your future manager</x:v>
      </x:c>
      <x:c r="E107" s="5" t="str">
        <x:v>45000.0</x:v>
      </x:c>
      <x:c r="F107" s="5" t="str">
        <x:v>1562c7a3-c7d9-419d-b9b6-db26610bcf84</x:v>
      </x:c>
      <x:c r="G107" s="7" t="str">
        <x:v>["QlikView Expressor", "accounting", "business intelligence", "consult with business clients", "create data models", "data extraction, transformation and loading tools", "identify customer's needs", "innovation processes", "make decisions", "model sets", "provide technical expertise"]</x:v>
      </x:c>
      <x:c r="H107" s="7" t="str">
        <x:v>["business intelligence"]</x:v>
      </x:c>
      <x:c r="I107" s="7" t="str">
        <x:v>["consult with business clients", "identify customer's needs", "innovation processes", "make decisions"]</x:v>
      </x:c>
      <x:c r="J107" s="7" t="str">
        <x:v>["data_analysis"]</x:v>
      </x:c>
      <x:c r="K107" s="7" t="str">
        <x:v>[]</x:v>
      </x:c>
      <x:c r="L107" s="7" t="str">
        <x:v>["data_analysis"]</x:v>
      </x:c>
      <x:c r="M107" s="7" t="str">
        <x:v>["data_analysis"]</x:v>
      </x:c>
      <x:c r="N107" s="7" t="str">
        <x:v>["data_analysis"]</x:v>
      </x:c>
      <x:c r="O107" s="7" t="str">
        <x:v>["esco", "description"]</x:v>
      </x:c>
      <x:c r="P107" s="7" t="str">
        <x:v>["creativity", "customer_interaction", "problem_solving"]</x:v>
      </x:c>
      <x:c r="Q107" s="8" t="str">
        <x:v>yes</x:v>
      </x:c>
      <x:c r="R107" s="8" t="str">
        <x:v>yes</x:v>
      </x:c>
      <x:c r="S107" s="8" t="str">
        <x:v>yes</x:v>
      </x:c>
      <x:c r="T107" s="7" t="str">
        <x:v>Reviewed against title, duties, mapped skills and detection sources.</x:v>
      </x:c>
    </x:row>
    <x:row r="108">
      <x:c r="A108" s="5" t="str">
        <x:v>data</x:v>
      </x:c>
      <x:c r="B108" s="5" t="str">
        <x:v>27867988</x:v>
      </x:c>
      <x:c r="C108" s="7" t="str">
        <x:v>Information systems manager (M/F)</x:v>
      </x:c>
      <x:c r="D108" s="7" t="str">
        <x:v>The Talents IT team is committed to being responsive and present to respond to your requests. Our consultants aim to support you in the search for your future IT experts, on permanent and fixed-term contracts, whatever your sector of activity. Talents IT is a national recruitment firm specializing in IT AND DIGITAL PROFESSIONS. WE REGULARLY OFFER YOU JOB OFFERS IN THESE AREAS: DEVELOPMENT, SECURITY, INFRASTRUCTURE, R&amp;D, DATA, PROJECT, PRODUCT... Our experienced consultants offer you PERSONALIZED SUPPORT and sound advice to help you develop in your career. ZOOM ON THE MISSIONS! Industrial group on a human scale, specializing in the manufacturing of technical solutions for buildings, is looking for an RSI. The company operates in a structured industrial environment, with a family culture. On a transversal IT scope, you work on Business Intelligence, IT management and user support: * Design, develop and maintain BI dashboards and reports. * Guarantee the availability, reliability, performance and security of the solutions implemented. * Support key users in the use of BI tools and disseminate best practices. * Manage IT within your scope and contribute to the management of associated projects. * Provide support and ongoing assistance to users and cross-functional functions. * Contribute occasionally to the maintenance and security of the operating system and the information system. THIS POSITION IS MADE FOR YOU IF... * You have a minimum Bac+3 degree in computer science or equivalent. * You have 5 to 7 years of experience in a similar position. * You are proficient or have solid experience in the following environments: Java, SQL / NoSQL, Power BI, QlikView, Office Suite, Windows environment. * You are comfortable with BI issues and cross-functional IT environments. * Vous possédez un anglais intermédiaire. REMUNERATION BETWEEN 40K AND 50K;</x:v>
      </x:c>
      <x:c r="E108" s="5" t="str">
        <x:v>45000.0</x:v>
      </x:c>
      <x:c r="F108" s="5" t="str">
        <x:v>82f90e87-de92-4678-adae-61d3e5f7e1e4</x:v>
      </x:c>
      <x:c r="G108" s="7" t="str">
        <x:v>["NoSQL", "QlikView Expressor", "business intelligence", "coordinate security", "manage several projects", "operating systems"]</x:v>
      </x:c>
      <x:c r="H108" s="7" t="str">
        <x:v>["NoSQL", "business intelligence"]</x:v>
      </x:c>
      <x:c r="I108" s="7" t="str">
        <x:v>[]</x:v>
      </x:c>
      <x:c r="J108" s="7" t="str">
        <x:v>["data_analysis", "data_engineering"]</x:v>
      </x:c>
      <x:c r="K108" s="7" t="str">
        <x:v>[]</x:v>
      </x:c>
      <x:c r="L108" s="7" t="str">
        <x:v>["data_analysis", "data_engineering", "software"]</x:v>
      </x:c>
      <x:c r="M108" s="7" t="str">
        <x:v>["data_analysis", "data_engineering", "software"]</x:v>
      </x:c>
      <x:c r="N108" s="7" t="str">
        <x:v>["data_analysis", "data_engineering"]</x:v>
      </x:c>
      <x:c r="O108" s="7" t="str">
        <x:v>["esco", "description"]</x:v>
      </x:c>
      <x:c r="P108" s="7" t="str">
        <x:v>[]</x:v>
      </x:c>
      <x:c r="Q108" s="8" t="str">
        <x:v>yes</x:v>
      </x:c>
      <x:c r="R108" s="8" t="str">
        <x:v>yes</x:v>
      </x:c>
      <x:c r="S108" s="8" t="str">
        <x:v>yes</x:v>
      </x:c>
      <x:c r="T108" s="7" t="str">
        <x:v>Reviewed against title, duties, mapped skills and detection sources.</x:v>
      </x:c>
    </x:row>
    <x:row r="109">
      <x:c r="A109" s="5" t="str">
        <x:v>data</x:v>
      </x:c>
      <x:c r="B109" s="5" t="str">
        <x:v>uc00i39ktn</x:v>
      </x:c>
      <x:c r="C109" s="7" t="str">
        <x:v>Product Owner Data (H/F)</x:v>
      </x:c>
      <x:c r="D109" s="7" t="str">
        <x:v>RESPONSIBILITIES: This mission is carried out in particular through the following tasks: · Define and prioritize the functionalities of data products according to user needs and the company's objectives, in consistency with other POs to ensure transversal processes. · Collaborate with development teams to deliver features on time, conduct impact studies and enable end-to-end actions. · Analyze data and user feedback to identify improvements, communicate regularly with stakeholders and ensure quality, compliance and performance of data products and inter-application flows. · Guarantee the coherence and sharing of the “Data Centric” enterprise architecture. Contribute to data governance with the Chief Data Officer, Data Stewards and Data Owners: - Participate in data management policies (quality, security, compliance, accessibility) and identify critical repositories (customers, vehicles, contracts, etc.) to manage their structuring, reliability and interoperability. - Define product vision and roadmap of data products (data warehouse, data lake, dashboards, APIs, etc.), collect and formalize business data needs, aligned with the strategy. - Integrate BI use cases, dashboards, automation and AI into the design of data products, write user stories, maintain and prioritize the backlog. - Guarantee data quality (completeness, accuracy, freshness, uniqueness), monitor data product performance indicators and support businesses in the adoption of data products and the increase in maturity on data issues. PROFILE WANTED: Training and experience: o Degree in IT, project management or a related field. o Experience as a Product Owner, ideally in the data field, or Data Analyst or data project manager. o Excellent communication and project management skills. o Ability to work in a team and manage several projects simultaneously. o Knowledge of project management tools and Agile methodologies. o Profile sought: Bac+5 training in IT, data, engineering or business school with data specialization. 3 to 5 years of experience in data project management or as a Product Owner. Required skills and qualities: o Excellent understanding of issues related to data governance and the quality of repositories. Mastery of agile methods (Scrum, Kanban). o Ability to interact with technical and professional profiles. o Knowledge of data tools: SQL, Power BI, Tableau, Snowflake, Azure, etc. o Organizational skills, rigor and value orientation. Ability to arbitrate and make decisions. o Technical skills: o · Knowledge (ideally mastery) of data management tools (SQL, NoSQL, etc.). o · Knowledge of data visualization tools (Tableau, Power BI, etc.). o · Understanding of the principles of data analysis and machine learning.</x:v>
      </x:c>
      <x:c r="E109" s="5" t="str">
        <x:v>48500.0</x:v>
      </x:c>
      <x:c r="F109" s="5" t="str">
        <x:v>9f508305-80ce-4111-8722-f2c9b4a44890</x:v>
      </x:c>
      <x:c r="G109" s="7" t="str">
        <x:v>["Agile development", "NoSQL", "analyse scientific data", "automation technology", "business intelligence", "communicate with stakeholders", "coordinate security", "data visualisation software", "data warehouse", "define data quality criteria", "ensure compliance with policies", "identify with the company's goals", "make decisions", "manage ICT data architecture", "manage data", "manage service contracts in the drilling industry", "manage several projects", "perform project management", "product data management", "quality standards"]</x:v>
      </x:c>
      <x:c r="H109" s="7" t="str">
        <x:v>["NoSQL", "business intelligence", "data visualisation software", "data warehouse"]</x:v>
      </x:c>
      <x:c r="I109" s="7" t="str">
        <x:v>["communicate with stakeholders", "make decisions"]</x:v>
      </x:c>
      <x:c r="J109" s="7" t="str">
        <x:v>["data_analysis", "data_engineering"]</x:v>
      </x:c>
      <x:c r="K109" s="7" t="str">
        <x:v>[]</x:v>
      </x:c>
      <x:c r="L109" s="7" t="str">
        <x:v>["ai_ml", "data_analysis", "data_engineering"]</x:v>
      </x:c>
      <x:c r="M109" s="7" t="str">
        <x:v>["ai_ml", "data_analysis", "data_engineering"]</x:v>
      </x:c>
      <x:c r="N109" s="7" t="str">
        <x:v>["data_analysis", "data_engineering"]</x:v>
      </x:c>
      <x:c r="O109" s="7" t="str">
        <x:v>["esco", "description"]</x:v>
      </x:c>
      <x:c r="P109" s="7" t="str">
        <x:v>["communication", "problem_solving"]</x:v>
      </x:c>
      <x:c r="Q109" s="8" t="str">
        <x:v>yes</x:v>
      </x:c>
      <x:c r="R109" s="8" t="str">
        <x:v>yes</x:v>
      </x:c>
      <x:c r="S109" s="8" t="str">
        <x:v>yes</x:v>
      </x:c>
      <x:c r="T109" s="7" t="str">
        <x:v>Reviewed against title, duties, mapped skills and detection sources.</x:v>
      </x:c>
    </x:row>
    <x:row r="110">
      <x:c r="A110" s="5" t="str">
        <x:v>data</x:v>
      </x:c>
      <x:c r="B110" s="5" t="str">
        <x:v>t73cjl3dmz</x:v>
      </x:c>
      <x:c r="C110" s="7" t="str">
        <x:v>Operational Safety Engineer M/F</x:v>
      </x:c>
      <x:c r="D110" s="7" t="str">
        <x:v>RESPONSIBILITIES: Our agency SOM Ligeron mobilizes its experts in safety, risks, ergonomics, data science and systems engineering to support large, complex industrial projects. Integrated on our client's site, you will work on large installation projects in the aeronautics and space sectors, in conjunction with the Operational Safety teams. Your role as a Operational Safety Engineer M/F will be to carry out the following missions: • Take ownership of the Functional Analysis of the System, • Carry out/Update reliability and availability studies at equipment and system level, • Carry out preliminary risk analyzes (APR, FHA), Area analyses, Common mode analyzes (CMA), • Establish/Update breakdown analyzes (FMEA, SFMEA, FTA, etc.) and fault simulations, • Carry out maintainability/testability studies, • Establish operational safety reports including a summary of recommendations for the continuity of the project. Why join us? • Remuneration over 12.5 months, participation bonus, profit-sharing bonus, meal basket €10.30, transport costs reimbursed up to 75%, CSE (cinema, holiday vouchers, gift cards, activities, etc.), • Integrate dynamic and caring teams: people at the center of our values, • Benefit from supervised and monitored integration, • Evolve in technical, project or managerial functions within SOM or of the Ortec Group, internal training school (O'METIERS), recognition of our experts and our elite corps (Casques d'Or), • An HR policy, around a global solidarity approach: solidarity fund, social action, housing action, disability action, • Finding a professional/personal life balance: teleworking agreement, around 10 days of RTT/year. PROFILE WANTED: You have a Bac+5 training diploma, with a minimum of 1 first experience in a similar position, ideally in an aeronautical and space environment. You master the methods and tools for assessing Reliability, Maintainability and Availability. You have already conducted failure analyzes (FMEA, APR, ADD, etc.). A good level of English is required You stand out for your rigor, autonomy and writing skills. Applications meeting the requested criteria will be given priority. Recruitment process • An initial telephone conversation with Claire, Recruitment Manager, to define your professional wishes and validate their suitability for the position offered, • A technical interview to clarify the challenges and outlines of the position, discover our premises as well as our teams, • Our process is simple and clear: you will be kept informed of each stage. Want to join a company that is both demanding and deeply human? Dive into the heart of 40 years of expertise, ambitious projects and passion for our profession! #SOM #LI-CDY1</x:v>
      </x:c>
      <x:c r="E110" s="5" t="str">
        <x:v>38000.0</x:v>
      </x:c>
      <x:c r="F110" s="5" t="str">
        <x:v>2a914d26-42aa-46b5-acf3-097d51ba4617</x:v>
      </x:c>
      <x:c r="G110" s="7" t="str">
        <x:v>["assess reliability of data", "data science", "ergonomics", "oversee operational safety on trains", "patient autonomy", "recruit employees", "solve technical problems", "teach writing"]</x:v>
      </x:c>
      <x:c r="H110" s="7" t="str">
        <x:v>["data science"]</x:v>
      </x:c>
      <x:c r="I110" s="7" t="str">
        <x:v>["solve technical problems"]</x:v>
      </x:c>
      <x:c r="J110" s="7" t="str">
        <x:v>["data_analysis"]</x:v>
      </x:c>
      <x:c r="K110" s="7" t="str">
        <x:v>[]</x:v>
      </x:c>
      <x:c r="L110" s="7" t="str">
        <x:v>["data_analysis"]</x:v>
      </x:c>
      <x:c r="M110" s="7" t="str">
        <x:v>["data_analysis"]</x:v>
      </x:c>
      <x:c r="N110" s="7" t="str">
        <x:v>["data_analysis"]</x:v>
      </x:c>
      <x:c r="O110" s="7" t="str">
        <x:v>["esco", "description"]</x:v>
      </x:c>
      <x:c r="P110" s="7" t="str">
        <x:v>["problem_solving"]</x:v>
      </x:c>
      <x:c r="Q110" s="8" t="str">
        <x:v>yes</x:v>
      </x:c>
      <x:c r="R110" s="8" t="str">
        <x:v>yes</x:v>
      </x:c>
      <x:c r="S110" s="8" t="str">
        <x:v>yes</x:v>
      </x:c>
      <x:c r="T110" s="7" t="str">
        <x:v>Reviewed against title, duties, mapped skills and detection sources.</x:v>
      </x:c>
    </x:row>
    <x:row r="111">
      <x:c r="A111" s="5" t="str">
        <x:v>data</x:v>
      </x:c>
      <x:c r="B111" s="5" t="str">
        <x:v>27619872</x:v>
      </x:c>
      <x:c r="C111" s="7" t="str">
        <x:v>Experienced geomatics developer FME F/M</x:v>
      </x:c>
      <x:c r="D111" s="7" t="str">
        <x:v>The Coexya group, digital leader and multi-specialist (consulting, integration &amp; development), has more than 950 employees present on sites in Lyon, Paris, Rennes, Brest and Lille, and supports companies in their digital transformation. Coexya works on numerous projects that contribute to societal progress (health, environment, digital responsibility, etc.). Respect for our values: commitment, respect and sharing, is an essential element of our corporate culture and this begins at the recruitment stage. On a daily basis, the group works to guarantee the diversity and well-being of its employees, limit its environmental impact and support ethical approaches. In 2024, Coexya joined the Talan group, an international player in consulting and technological expertise which accelerates the transformation of its clients through the levers of innovation, technology and data. CONTEXT To support the growth of our entity specialized in Geographic Information Systems, we are looking for our future geomatics developer F/M. With more than thirty years of experience, the Coexya GIS expertise center is one of the first in France. As part of high-stakes projects with national clients in the energy sector, you will work on critical geographic information systems used by several thousand users. WHAT WE OFFER YOU In collaboration with our architects, project managers and technical experts, you will be involved in the different phases of the projects, from design to implementation: - Write technical specifications. - Design and model relational databases (MCD). - Develop processing for feeding and transforming geographic data (initials and updates) with FME Desktop and Python. - Design and develop geoprocessing. - Implement geographic data infrastructures. - Write and execute SQL queries. - Administer relational databases (Oracle, PostgreSQL). - Develop additional tools in Python. - Publish map services under ArcGIS Server. WHAT IS EXPECTED OF YOU Technically? - You have 5 years of experience on similar missions, - You are proficient in FME Desktop (development and automation of processing), - You have good practice in Python, - You have solid skills in SQL and relational database management. Ideally? - You have knowledge of QGIS, ArcGIS Desktop, ArcGIS Pro, ArcGIS Portal. - You have experience with Oracle and PostgreSQL database administration. And humanly? - You are rigorous and curious to carry out the missions assigned, - You have a good team spirit to integrate into project teams, - You have relational and editorial qualities to ensure exchanges with the client. WORKPLACE COEXYA - Lyon agency, within our skills center 9 avenue Charles de Gaulle 69370 Saint-Didier-au-Mont-d'Or. The site is accessible via TCL (approx. 10 minutes by bus from Vaise station). A fleet of bicycles or electric company cars are also available to employees.</x:v>
      </x:c>
      <x:c r="E111" s="5" t="str">
        <x:v>40000.0</x:v>
      </x:c>
      <x:c r="F111" s="5" t="str">
        <x:v>9af8907f-56a7-4170-83b1-3c6ba0997cfa</x:v>
      </x:c>
      <x:c r="G111" s="7" t="str">
        <x:v>["PostgreSQL", "Python (computer programming)", "build team spirit", "carry out project activities", "define technical requirements", "manage environmental impact of operations", "operate relational database management system", "perform project management", "recruit employees"]</x:v>
      </x:c>
      <x:c r="H111" s="7" t="str">
        <x:v>["PostgreSQL", "Python (computer programming)", "operate relational database management system"]</x:v>
      </x:c>
      <x:c r="I111" s="7" t="str">
        <x:v>[]</x:v>
      </x:c>
      <x:c r="J111" s="7" t="str">
        <x:v>["data_analysis", "data_engineering"]</x:v>
      </x:c>
      <x:c r="K111" s="7" t="str">
        <x:v>[]</x:v>
      </x:c>
      <x:c r="L111" s="7" t="str">
        <x:v>["data_engineering"]</x:v>
      </x:c>
      <x:c r="M111" s="7" t="str">
        <x:v>["data_analysis", "data_engineering"]</x:v>
      </x:c>
      <x:c r="N111" s="7" t="str">
        <x:v>["data_engineering"]</x:v>
      </x:c>
      <x:c r="O111" s="7" t="str">
        <x:v>["esco", "description"]</x:v>
      </x:c>
      <x:c r="P111" s="7" t="str">
        <x:v>[]</x:v>
      </x:c>
      <x:c r="Q111" s="8" t="str">
        <x:v>yes</x:v>
      </x:c>
      <x:c r="R111" s="8" t="str">
        <x:v>yes</x:v>
      </x:c>
      <x:c r="S111" s="8" t="str">
        <x:v>yes</x:v>
      </x:c>
      <x:c r="T111" s="7" t="str">
        <x:v>Reviewed against title, duties, mapped skills and detection sources.</x:v>
      </x:c>
    </x:row>
    <x:row r="112">
      <x:c r="A112" s="5" t="str">
        <x:v>data</x:v>
      </x:c>
      <x:c r="B112" s="5" t="str">
        <x:v>001712</x:v>
      </x:c>
      <x:c r="C112" s="7" t="str">
        <x:v>Database Administrator (DBA) PostgreSQL - Oracle M/F</x:v>
      </x:c>
      <x:c r="D112" s="7" t="str">
        <x:v>The company supported and the missions: The company: Do you want to join a leading healthcare player, at the heart of strategic and meaningful projects? This organization is committed to modernizing its IT infrastructures to guarantee the security, performance and high availability of its critical digital services. With an approach resolutely focused on innovation, it now takes on stimulating challenges around relational and NoSQL databases, virtualization, automation and securing environments. The company is looking for its future DBA database administrator (PostgreSQL / Oracle) M/F on its Rennes site (position creation)! The position and the team: Reporting to the System and Hosting Manager and integrated into an expert team, you will have a key role in ensuring the reliability and development of the infrastructures. You will work in pairs with another Oracle DBA engineer, on whom you can rely to improve your skills and create real synergy. Here are the missions attached to the position: Administer and optimize the databases (mainly PostgreSQL, Oracle and MySQL), Ensure supervision, maintenance in operational conditions and compliance with good security practices, Contribute to development projects (build), in conjunction with the infrastructure teams, Document and make processes related to the administration of the environments more reliable, Collaborate with partners to guarantee quality of service, Provide technical and transversal expertise on the infrastructure, to the teams, etc. Overall technical environment: Databases (PostgreSQL, MySQL, MariaDB, SQL, Oracle, NoSQL) OS Linux Redhat / Ubuntu, Unix, AIX, VMware, Active Directory, Windows Server Ansible, Puppet, Rundeck, Gitlab CI/CD Profile: What you bring: Ideally, you have solid experience in the administration of PostgreSQL and Oracle databases (and if you have also been able to work on Linux administration is even better). Your assets for this position: good database skills: mastery of PostgreSQL, Oracle and MySQL, knowledge of MariaDB or NoSQL. Equivalent skills on similar technologies will be carefully studied. Beyond technical skills, we are looking for a curious, rigorous profile capable of working collaboratively. You appreciate sharing knowledge (pairing, mentoring) and know how to take a step back to suggest improvements. You are looking to get involved in a project that makes sense, especially in the field of health! So, does this tempt you? Don't hesitate any longer and apply! Advantages: Working conditions / In practice: - Location: North-West of Rennes - Proximity to public transport / parking / bicycle accessibility - Public company with meaning - Teleworking possible 1 day / week What you will gain / Why apply? - Expertise developed in a modern and evolving technical environment - internal development possible - Training plan and constant skills development - Mentoring - 10 weeks of leave per year! - Salary: up to €55,000 depending on your experience - Possibility of financial supplements via on-call duties (2 per year max) - Social benefits: holiday vouchers, culture vouchers, etc. Recruitment process: - A first exchange with Nicolas from Externatic - An interview with your future managers - A second exchange on site with the team</x:v>
      </x:c>
      <x:c r="E112" s="5" t="str">
        <x:v>50000.0</x:v>
      </x:c>
      <x:c r="F112" s="5" t="str">
        <x:v>9e2e6e1e-363b-4e1b-a673-7bc0f7343300</x:v>
      </x:c>
      <x:c r="G112" s="7" t="str">
        <x:v>["Ansible", "NoSQL", "Oracle Relational Database", "PostgreSQL", "Puppet (tools for software configuration management)", "SQL", "automation technology", "consult with technical staff", "innovation processes", "manage ICT virtualisation environments", "pose questions referring to documents", "predictive maintenance", "promote innovative infrastructure design", "security regulations", "supervision of persons"]</x:v>
      </x:c>
      <x:c r="H112" s="7" t="str">
        <x:v>["NoSQL", "Oracle Relational Database", "PostgreSQL", "SQL"]</x:v>
      </x:c>
      <x:c r="I112" s="7" t="str">
        <x:v>["innovation processes"]</x:v>
      </x:c>
      <x:c r="J112" s="7" t="str">
        <x:v>["data_analysis", "data_engineering"]</x:v>
      </x:c>
      <x:c r="K112" s="7" t="str">
        <x:v>["data_engineering"]</x:v>
      </x:c>
      <x:c r="L112" s="7" t="str">
        <x:v>["data_engineering", "cloud_devops", "networks_systems"]</x:v>
      </x:c>
      <x:c r="M112" s="7" t="str">
        <x:v>["cloud_devops", "data_analysis", "data_engineering", "networks_systems"]</x:v>
      </x:c>
      <x:c r="N112" s="7" t="str">
        <x:v>["data_engineering"]</x:v>
      </x:c>
      <x:c r="O112" s="7" t="str">
        <x:v>["esco", "title", "description"]</x:v>
      </x:c>
      <x:c r="P112" s="7" t="str">
        <x:v>["creativity"]</x:v>
      </x:c>
      <x:c r="Q112" s="8" t="str">
        <x:v>yes</x:v>
      </x:c>
      <x:c r="R112" s="8" t="str">
        <x:v>yes</x:v>
      </x:c>
      <x:c r="S112" s="8" t="str">
        <x:v>yes</x:v>
      </x:c>
      <x:c r="T112" s="7" t="str">
        <x:v>Reviewed against title, duties, mapped skills and detection sources.</x:v>
      </x:c>
    </x:row>
    <x:row r="113">
      <x:c r="A113" s="5" t="str">
        <x:v>data</x:v>
      </x:c>
      <x:c r="B113" s="5" t="str">
        <x:v>27875847</x:v>
      </x:c>
      <x:c r="C113" s="7" t="str">
        <x:v>Consultant senior Power BI et Data Analytics - Neuilly (H/F)</x:v>
      </x:c>
      <x:c r="D113" s="7" t="str">
        <x:v>At Grant Thornton, an auditing and consulting firm, we offer you the opportunity to live the Experience of Trust by revealing the best of yourself within friendly and united teams, driven by a common objective of success, putting diversity and innovation at the center of our concerns. As a Power BI and Data Analytics Consultant, you will work on various missions with our clients to: - Analyze and understand the functional and technical needs of clients - Design, develop and implement reporting solutions and interactive dashboards using Power BI - Ensure data modeling and the creation of advanced measurements (Power Query, DAX, SQL, etc.) - Participate in the implementation of data architectures and integration with various data sources - Participate in the modeling of data warehouses under Snowflake and the implementation of data processing pipelines - Provide training and support for end users on the tools and solutions developed - Contribute to the continuous improvement of methodologies and internal best practices. You benefit from at least 4 years of experience with active application of Power BI skills. You master the Power BI tool, data modeling and report optimization. You have experience in data integration with various sources (SQL, API, etc.), as well as knowledge of the principles of data visualization and best practices in design. You are recognized for your ability to work in a team, your autonomy, and your excellent communication skills. Assets: - Microsoft Power BI certification or other BI certifications - Knowledge of other BI tools on the market (Tableau, QlikView, etc.) - Solid experience in SQL and Snowflake - Mastery of DataOps and Git best practices - Experience in project management - Fluent communication in English, written and oral We are developing our team, join us and participate in the realization of an ambitious project! Position open to workers with disabilities. To find out more about our CSR commitments: Our CSR commitments | Grant Thornton</x:v>
      </x:c>
      <x:c r="E113" s="5" t="str">
        <x:v>55000.0</x:v>
      </x:c>
      <x:c r="F113" s="5" t="str">
        <x:v>b1c80369-067e-4041-84c8-dbe65640a5d8</x:v>
      </x:c>
      <x:c r="G113" s="7" t="str">
        <x:v>["QlikView Expressor", "SQL", "build trust", "conduct financial audits", "data extraction, transformation and loading tools", "data models", "data warehouse", "deliver visual presentation of data", "management consulting"]</x:v>
      </x:c>
      <x:c r="H113" s="7" t="str">
        <x:v>["SQL", "data warehouse"]</x:v>
      </x:c>
      <x:c r="I113" s="7" t="str">
        <x:v>[]</x:v>
      </x:c>
      <x:c r="J113" s="7" t="str">
        <x:v>["data_analysis", "data_engineering"]</x:v>
      </x:c>
      <x:c r="K113" s="7" t="str">
        <x:v>["data_analysis"]</x:v>
      </x:c>
      <x:c r="L113" s="7" t="str">
        <x:v>["data_analysis"]</x:v>
      </x:c>
      <x:c r="M113" s="7" t="str">
        <x:v>["data_analysis", "data_engineering"]</x:v>
      </x:c>
      <x:c r="N113" s="7" t="str">
        <x:v>["data_analysis"]</x:v>
      </x:c>
      <x:c r="O113" s="7" t="str">
        <x:v>["esco", "title", "description"]</x:v>
      </x:c>
      <x:c r="P113" s="7" t="str">
        <x:v>[]</x:v>
      </x:c>
      <x:c r="Q113" s="8" t="str">
        <x:v>yes</x:v>
      </x:c>
      <x:c r="R113" s="8" t="str">
        <x:v>yes</x:v>
      </x:c>
      <x:c r="S113" s="8" t="str">
        <x:v>yes</x:v>
      </x:c>
      <x:c r="T113" s="7" t="str">
        <x:v>Reviewed against title, duties, mapped skills and detection sources.</x:v>
      </x:c>
    </x:row>
    <x:row r="114">
      <x:c r="A114" s="5" t="str">
        <x:v>data</x:v>
      </x:c>
      <x:c r="B114" s="5" t="str">
        <x:v>27672177</x:v>
      </x:c>
      <x:c r="C114" s="7" t="str">
        <x:v>Developpeur Full Stack (H/F)</x:v>
      </x:c>
      <x:c r="D114" s="7" t="str">
        <x:v>As part of the modernization of its digital tools and the optimization of its internal processes, our client is recruiting a Full Stack Developer. F/M You will work on the design, development and maintenance of local business applications, intended to support the activity of the teams. You will also be the local technical referent of the site in liaison with local and national IS support. Your missions: Management of the activity - Prioritize, plan and organize application developments and evolutions. - Coordinate technical exchanges with local and national support. - Ensure technical relay and local support on the site. Design and development - Design, develop and maintain business web applications (PHP, JavaScript, SQL, Python). - Develop and upgrade internal tools: Todolist+, dashboards, processing support tools, supervision and automation. - Design ergonomic and responsive UX/UI interfaces. - Structure and use multisource databases (SQL, Excel, internal exports). - Produce data visualizations via Power BI and Chart.js. - Develop in an IIS environment, in compliance with SIU standards (security, architecture, best practices). - Customize and maintain Joomla CMS (modules, templates). - Contribute to the evolution of the internal training platform. Best practices &amp; modernization Implement modern development practices: Git, code modularization, API, microservices. Optimize application performance, stability and security. Document developments (procedures, tutorials, operating methods). Continuous improvement &amp; innovation - Be a source of proposals to modernize internal tools and streamline business processes. - Analyze user feedback and continuously improve applications. - Participate in technology monitoring (data, automation, modern front-end, local AI). Propose concrete use cases for AI: - assistance in searching for information, controlled content generation, guided responses, specific business agents. You will have broad autonomy over the design and development of local tools, while respecting the national IS framework. (Proposal and arbitration of technical solutions, choice of data structures, interfaces and development methods, reporting of incidents, development needs and compliance issues with the national SIU) - Training in IT development or equivalent experience. - Strong full stack web development skills. - Comfortable with business environments and security constraints. - Autonomous, organized, with a good sense of user service. - Ability to interact with technical and non-technical interlocutors. - Technical English</x:v>
      </x:c>
      <x:c r="E114" s="5" t="str">
        <x:v>30000.0</x:v>
      </x:c>
      <x:c r="F114" s="5" t="str">
        <x:v>f2b15a0e-e65a-438a-affb-29b9d50b77d1</x:v>
      </x:c>
      <x:c r="G114" s="7" t="str">
        <x:v>["SQL", "automation technology", "business processes", "collect customer feedback on applications", "coordinate security", "creatively use digital technologies", "data models", "define security policies", "deliver visual presentation of data", "develop design concept", "ergonomics", "interfacing techniques", "pose questions referring to documents", "supervision of persons", "technical terminology"]</x:v>
      </x:c>
      <x:c r="H114" s="7" t="str">
        <x:v>["SQL"]</x:v>
      </x:c>
      <x:c r="I114" s="7" t="str">
        <x:v>[]</x:v>
      </x:c>
      <x:c r="J114" s="7" t="str">
        <x:v>["data_analysis"]</x:v>
      </x:c>
      <x:c r="K114" s="7" t="str">
        <x:v>["software"]</x:v>
      </x:c>
      <x:c r="L114" s="7" t="str">
        <x:v>["data_analysis", "software"]</x:v>
      </x:c>
      <x:c r="M114" s="7" t="str">
        <x:v>["data_analysis", "software"]</x:v>
      </x:c>
      <x:c r="N114" s="7" t="str">
        <x:v>["data_analysis", "software"]</x:v>
      </x:c>
      <x:c r="O114" s="7" t="str">
        <x:v>["esco", "title", "description"]</x:v>
      </x:c>
      <x:c r="P114" s="7" t="str">
        <x:v>[]</x:v>
      </x:c>
      <x:c r="Q114" s="8" t="str">
        <x:v>yes</x:v>
      </x:c>
      <x:c r="R114" s="8" t="str">
        <x:v>yes</x:v>
      </x:c>
      <x:c r="S114" s="8" t="str">
        <x:v>yes</x:v>
      </x:c>
      <x:c r="T114" s="7" t="str">
        <x:v>Reviewed against title, duties, mapped skills and detection sources.</x:v>
      </x:c>
    </x:row>
    <x:row r="115">
      <x:c r="A115" s="5" t="str">
        <x:v>data</x:v>
      </x:c>
      <x:c r="B115" s="5" t="str">
        <x:v>zd5s90a3ty</x:v>
      </x:c>
      <x:c r="C115" s="7" t="str">
        <x:v>Python Developer - National Data Operations Unit (M/F)</x:v>
      </x:c>
      <x:c r="D115" s="7" t="str">
        <x:v>RESPONSIBILITIES: The national data exploitation unit intervenes on public products or services to meet external needs, by creating automatable deliverables which generate a measurable impact, both in terms of profitability and influence. Why join us? • Join a dynamic team, committed to the modernization of craft services • Participate in a structuring project around data, mapping, analysis and visualization • Benefit from an opportunity to evolve towards technical responsibilities or around data, within the Chamber of Trades and Crafts Under the responsibility of the Product Owner and in collaboration with the data exploitation unit team, you will have to: • Participate in the needs analysis business and the drafting of technical specifications (back-end and front-end); • Develop back-end functionalities in Python; • Develop front-end interfaces (with the Django framework) and ensure a good responsive user experience; • Implement data exports (PDF, CSV), iframe integrations, map modules and geographic/historical filters; • Carry out unit/integration testing, code review and participate in quality assurance of deliverables; • Ensure the performance, security and maintainability of the application; • Contribute to technical documentation, production launch and corrective/evolutionary maintenance. Sharing the link to your work (GitHub, personal projects) will be welcome. PROFILE WANTED: You have a Bac+3 to Bac+5 level in Computer Science or equivalent and two years of successful experience (including internships) in full-stack development. KNOW-HOW • Python and at least one Python web framework (Django, Flask, FastAPI, etc.) • Relational databases (PostgreSQL, MySQL) and/or NoSQL • Initial experience or appetite for developing cartographic or data visualization modules is a plus • JavaScript/TypeScript and experience with the Angular Framework is a plus • A quality, testing and documentation approach and sensitivity to data security and compliance (GDPR) KNOWLEDGE BE • Sense of teamwork • Rigor • Curiosity and ability to learn quickly • Good interpersonal skills to collaborate with business profiles and data profiles</x:v>
      </x:c>
      <x:c r="E115" s="5" t="str">
        <x:v>42224.0</x:v>
      </x:c>
      <x:c r="F115" s="5" t="str">
        <x:v>f2b15a0e-e65a-438a-affb-29b9d50b77d1</x:v>
      </x:c>
      <x:c r="G115" s="7" t="str">
        <x:v>["NoSQL", "PostgreSQL", "Python (computer programming)", "business requirements techniques", "cartography", "coordinate security", "define technical requirements", "demonstrate curiosity", "execute integration testing", "maintain responsive design", "promote ideas, products, services ", "provide technical documentation", "provide user documentation"]</x:v>
      </x:c>
      <x:c r="H115" s="7" t="str">
        <x:v>["NoSQL", "PostgreSQL", "Python (computer programming)"]</x:v>
      </x:c>
      <x:c r="I115" s="7" t="str">
        <x:v>["demonstrate curiosity"]</x:v>
      </x:c>
      <x:c r="J115" s="7" t="str">
        <x:v>["data_analysis", "data_engineering"]</x:v>
      </x:c>
      <x:c r="K115" s="7" t="str">
        <x:v>["software"]</x:v>
      </x:c>
      <x:c r="L115" s="7" t="str">
        <x:v>["data_engineering", "software"]</x:v>
      </x:c>
      <x:c r="M115" s="7" t="str">
        <x:v>["data_analysis", "data_engineering", "software"]</x:v>
      </x:c>
      <x:c r="N115" s="7" t="str">
        <x:v>["data_engineering", "software"]</x:v>
      </x:c>
      <x:c r="O115" s="7" t="str">
        <x:v>["esco", "title", "description"]</x:v>
      </x:c>
      <x:c r="P115" s="7" t="str">
        <x:v>["creativity"]</x:v>
      </x:c>
      <x:c r="Q115" s="8" t="str">
        <x:v>yes</x:v>
      </x:c>
      <x:c r="R115" s="8" t="str">
        <x:v>yes</x:v>
      </x:c>
      <x:c r="S115" s="8" t="str">
        <x:v>yes</x:v>
      </x:c>
      <x:c r="T115" s="7" t="str">
        <x:v>Reviewed against title, duties, mapped skills and detection sources.</x:v>
      </x:c>
    </x:row>
    <x:row r="116">
      <x:c r="A116" s="5" t="str">
        <x:v>data</x:v>
      </x:c>
      <x:c r="B116" s="5" t="str">
        <x:v>2690o9ab1n</x:v>
      </x:c>
      <x:c r="C116" s="7" t="str">
        <x:v>Software Support Technician L2 M/F</x:v>
      </x:c>
      <x:c r="D116" s="7" t="str">
        <x:v>RESPONSIBILITIES: Within the ESEC “European Support and Expertise Center” service, your daily missions are as follows: • Provide 2nd level support for the operational teams (technicians, trainers, telephone assistance) of the customer services of the Pharmacy Europe division, including national customer services outside France (Belgium, Italy, etc.) • Ensure the testing of technical solutions or R&amp;D services with a view to validation and marketing and/or an entry in the catalog (materials) • Write installation and/or maintenance procedures in French and English, • Train stakeholders by transmitting the necessary information to national and regional customer services (for France) for the deployment of these new productions to community pharmacist customers. • Participate in project meetings with R&amp;D and other stakeholders. • Prepare and participate in seminars and other events (Pharmagora, etc.) to enable these events to run smoothly. • Participate in pilot site installations for new products PROFILE WANTED: Graduate of a school or university with a specialty in IT (BAC+2/3), you have a first professional experience in the profession, ideally within a user support type environment within a customer service. Which implies in terms of knowledge/skills: • Very good knowledge of the OS used on our products (Linux, Windows), • Knowledge of database administration (e.g. Oracle database, MySQL, etc.), • Good knowledge of networks, • Good sense of diagnosis • An ability to communicate in English orally (understand and be understood) and in writing. Knowledge of the pharmacist profession is an additional asset. Your interpersonal and communication skills, your ability to collaborate as a team while effectively managing priorities, your sense of teaching and customer service, as well as your ability to demonstrate versatility and adaptability in a stimulating work environment will promote your success in this position. Do you want to express your sense of sharing and feel useful every day? Put your know-how and your personality at the service of those who advance health. What we offer: • RTT • Restaurant vouchers • Holiday bonus, profit-sharing and participation • Attractive co-optation policy • Structured integration path • Prospects for development and internal mobility • Teleworking policy (2 days) A company certified “Employees Gold 2026”, recognized for its commitment to the well-being and satisfaction of its teams. Our recruitment process • Telephone prequalification with Marie • Interview with the manager (N+1) • Behavioral assessment and debrief with the HR team • Taking references and hiring proposal Candidate guide: https://recrutement.lacooperativewelcoop.com/rejoindre/guide-du-candidat-a-lemploi/ With us, no cloning, no elitism but a rigorous selection of personalities sharing our corporate culture. This is why we attach great importance to each recruitment being the result of a shared, thoughtful and committed decision, marked by desire and optimism, for you, as for us.</x:v>
      </x:c>
      <x:c r="E116" s="5" t="str">
        <x:v>27000.0</x:v>
      </x:c>
      <x:c r="F116" s="5" t="str">
        <x:v>64c7d461-152c-477f-a8e2-c2c537e9d617</x:v>
      </x:c>
      <x:c r="G116" s="7" t="str">
        <x:v>["Oracle Relational Database", "communicate with stakeholders", "monitor developments in field of expertise", "operate relational database management system", "organise project meetings"]</x:v>
      </x:c>
      <x:c r="H116" s="7" t="str">
        <x:v>["Oracle Relational Database", "operate relational database management system"]</x:v>
      </x:c>
      <x:c r="I116" s="7" t="str">
        <x:v>["communicate with stakeholders"]</x:v>
      </x:c>
      <x:c r="J116" s="7" t="str">
        <x:v>["data_engineering"]</x:v>
      </x:c>
      <x:c r="K116" s="7" t="str">
        <x:v>[]</x:v>
      </x:c>
      <x:c r="L116" s="7" t="str">
        <x:v>["data_engineering", "networks_systems"]</x:v>
      </x:c>
      <x:c r="M116" s="7" t="str">
        <x:v>["data_engineering", "networks_systems"]</x:v>
      </x:c>
      <x:c r="N116" s="7" t="str">
        <x:v>["data_engineering"]</x:v>
      </x:c>
      <x:c r="O116" s="7" t="str">
        <x:v>["esco", "description"]</x:v>
      </x:c>
      <x:c r="P116" s="7" t="str">
        <x:v>["communication"]</x:v>
      </x:c>
      <x:c r="Q116" s="8" t="str">
        <x:v>yes</x:v>
      </x:c>
      <x:c r="R116" s="8" t="str">
        <x:v>yes</x:v>
      </x:c>
      <x:c r="S116" s="8" t="str">
        <x:v>yes</x:v>
      </x:c>
      <x:c r="T116" s="7" t="str">
        <x:v>Reviewed against title, duties, mapped skills and detection sources.</x:v>
      </x:c>
    </x:row>
    <x:row r="117">
      <x:c r="A117" s="5" t="str">
        <x:v>data</x:v>
      </x:c>
      <x:c r="B117" s="5" t="str">
        <x:v>27666464</x:v>
      </x:c>
      <x:c r="C117" s="7" t="str">
        <x:v>DATA ANALYST COMMERCE / TRANSPORT (H/F)</x:v>
      </x:c>
      <x:c r="D117" s="7" t="str">
        <x:v>Do you want to put your analytical skills to work in a concrete and stimulating environment? Join a recognized and growing player in transport and logistics, where data becomes a key decision-making lever for sales and project teams. Attached to the Design Office and in close contact with the sales and operational teams, you will play a central role in the structuring and exploitation of data, to optimize pricing, profitability, and performance management. Your main missions As a Data Analyst, you will work on a broad and transversal scope: Analysis and reporting Design, automate and maintain commercial and operational reporting. Establish and monitor relevant performance indicators (KPIs). Develop profitability and customer pricing analyses. Provide ad hoc analysis for sales teams and the Project Manager. Tools and structuring Participate in the implementation of the new CRM and data integration. Develop interactive dashboards in Power BI for performance monitoring. Create and maintain quotation and pricing files. Contribute to the quality and reliability of data throughout the information system. With Bac+3 to Bac+5 training in data analytics, statistics, management, or equivalent, you have initial experience (2 to 5 years) in a similar position, ideally in a commercial, transport or industrial environment. Expected skills: Mastery of advanced Excel (formulas, macros, automation, Power Query). Very good knowledge of Power BI (modeling, DAX, visualizations). Basics in coding/query language (SQL, Python, VBA or other). Strong appetite for numbers, precision and analysis. Ability to popularize data and support users. Languages: A good level of professional English is required (reporting or occasional international exchanges).</x:v>
      </x:c>
      <x:c r="E117" s="5" t="str">
        <x:v>45000.0</x:v>
      </x:c>
      <x:c r="F117" s="5" t="str">
        <x:v>d3edb8f8-3a06-47a0-8fb9-9b212c006aa2</x:v>
      </x:c>
      <x:c r="G117" s="7" t="str">
        <x:v>["English", "Python (computer programming)", "SQL", "automation technology", "data extraction, transformation and loading tools", "estimate profitability", "logistics", "manage sales teams", "numerology", "perform project management", "sales activities"]</x:v>
      </x:c>
      <x:c r="H117" s="7" t="str">
        <x:v>["Python (computer programming)", "SQL"]</x:v>
      </x:c>
      <x:c r="I117" s="7" t="str">
        <x:v>[]</x:v>
      </x:c>
      <x:c r="J117" s="7" t="str">
        <x:v>["data_analysis"]</x:v>
      </x:c>
      <x:c r="K117" s="7" t="str">
        <x:v>["data_analysis"]</x:v>
      </x:c>
      <x:c r="L117" s="7" t="str">
        <x:v>["data_analysis"]</x:v>
      </x:c>
      <x:c r="M117" s="7" t="str">
        <x:v>["data_analysis"]</x:v>
      </x:c>
      <x:c r="N117" s="7" t="str">
        <x:v>["data_analysis"]</x:v>
      </x:c>
      <x:c r="O117" s="7" t="str">
        <x:v>["esco", "title", "description"]</x:v>
      </x:c>
      <x:c r="P117" s="7" t="str">
        <x:v>[]</x:v>
      </x:c>
      <x:c r="Q117" s="8" t="str">
        <x:v>yes</x:v>
      </x:c>
      <x:c r="R117" s="8" t="str">
        <x:v>yes</x:v>
      </x:c>
      <x:c r="S117" s="8" t="str">
        <x:v>yes</x:v>
      </x:c>
      <x:c r="T117" s="7" t="str">
        <x:v>Reviewed against title, duties, mapped skills and detection sources.</x:v>
      </x:c>
    </x:row>
    <x:row r="118">
      <x:c r="A118" s="5" t="str">
        <x:v>data</x:v>
      </x:c>
      <x:c r="B118" s="5" t="str">
        <x:v>28429215</x:v>
      </x:c>
      <x:c r="C118" s="7" t="str">
        <x:v>DATA ANALYST M/F - SANOFI - R2843335</x:v>
      </x:c>
      <x:c r="D118" s="7" t="str">
        <x:v>Supplay Marne-la-Vallée is recruiting for its client Sanofi a Data Analyst (M/F) Location: Gentilly (SWI CSVB) Mission: as soon as possible until 08/31/2026 Remuneration: 3768.34 EUR gross monthly In an international and transversal environment, you play a key role in managing performance through data analysis and the development of Business Intelligence solutions. Your main missions: - Develop business specifications, reports, analyzes and visualizations for reliable performance monitoring - Ensure the deployment of tools and indicators at all levels of the organization (industrial sites? M&amp;S management) - Support global SMS teams and program managers through in-depth analyzes - Develop and improve BI solutions (Power Platform) - Exploit synergies in data models for performance gap analysis - Identify new improvement levers by correlating multi-site data - Explore new fields of data analysis Profile sought: - Bac +5 training (engineering, business school) or Bac +3 specialized in data - 3 to 5 years of experience (internship/alternation included, with at least one experience outside of work-study) - Essential mastery of SQL, Python and Snowflake - Expertise in data visualization and BI tools (Power Platform) - Professional written and oral English required - Analytical, logical mind and ability to work cross-functionally Are you passionate about data and want to contribute to industrial performance? Apply now!</x:v>
      </x:c>
      <x:c r="E118" s="5" t="str">
        <x:v>47500.0</x:v>
      </x:c>
      <x:c r="F118" s="5" t="str">
        <x:v>d3edb8f8-3a06-47a0-8fb9-9b212c006aa2</x:v>
      </x:c>
      <x:c r="G118" s="7" t="str">
        <x:v>["Python (computer programming)", "business intelligence", "create project specifications"]</x:v>
      </x:c>
      <x:c r="H118" s="7" t="str">
        <x:v>["Python (computer programming)", "business intelligence"]</x:v>
      </x:c>
      <x:c r="I118" s="7" t="str">
        <x:v>[]</x:v>
      </x:c>
      <x:c r="J118" s="7" t="str">
        <x:v>["data_analysis"]</x:v>
      </x:c>
      <x:c r="K118" s="7" t="str">
        <x:v>["data_analysis"]</x:v>
      </x:c>
      <x:c r="L118" s="7" t="str">
        <x:v>["data_analysis"]</x:v>
      </x:c>
      <x:c r="M118" s="7" t="str">
        <x:v>["data_analysis"]</x:v>
      </x:c>
      <x:c r="N118" s="7" t="str">
        <x:v>["data_analysis"]</x:v>
      </x:c>
      <x:c r="O118" s="7" t="str">
        <x:v>["esco", "title", "description"]</x:v>
      </x:c>
      <x:c r="P118" s="7" t="str">
        <x:v>[]</x:v>
      </x:c>
      <x:c r="Q118" s="8" t="str">
        <x:v>yes</x:v>
      </x:c>
      <x:c r="R118" s="8" t="str">
        <x:v>yes</x:v>
      </x:c>
      <x:c r="S118" s="8" t="str">
        <x:v>yes</x:v>
      </x:c>
      <x:c r="T118" s="7" t="str">
        <x:v>Reviewed against title, duties, mapped skills and detection sources.</x:v>
      </x:c>
    </x:row>
    <x:row r="119">
      <x:c r="A119" s="5" t="str">
        <x:v>data</x:v>
      </x:c>
      <x:c r="B119" s="5" t="str">
        <x:v>203DPRL</x:v>
      </x:c>
      <x:c r="C119" s="7" t="str">
        <x:v>BI Business Intelligence Engineer M/F (M/F)</x:v>
      </x:c>
      <x:c r="D119" s="7" t="str">
        <x:v>We are looking for our future IT/BI engineer to join our team in Sophia Antipolis. You will work on different projects for our clients: Design of the data warehouse architecture - Design the architecture of a decision-making data warehouse (datawarehouse) - Define storage solutions and the structuring of data within a model - Drafting of rules (guidelines) for the proper implementation of ETL technologies - Carry out technical tests and acceptance to check the supply and consistency of data Configuration of analysis and reporting tools - Carry out the collection and the definition of user needs as well as the specifications - Define the rules for using decision-making technologies (use cases, decision trees, etc.) - Exploit and enhance data using statistical techniques or algorithms (big data) - Design indicators and calculate them (by building datamart-type tables) - Integrate new data into existing reporting Restitution of data and user training - Develop “universes” and reports - Define dynamic reporting tools (OLAP, multidimensional bases) - Ensure the presentation of data according to the user's needs - Ensure user training in the use of decision-making tools You have an engineering diploma in the field of IT or a Bac +5 IT degree. You have successful experience in business intelligence. You have good skills in reporting tools (Business Object, Qlikview, etc.) and in ETL (Cognos, Informatica, Datastage, ODI, etc.). Fluency in English is a plus. So come and experience a dynamic and innovative company.</x:v>
      </x:c>
      <x:c r="E119" s="5" t="str">
        <x:v>36000.0</x:v>
      </x:c>
      <x:c r="F119" s="5" t="str">
        <x:v>07e60525-1aad-4099-aaf3-2c7014c92212</x:v>
      </x:c>
      <x:c r="G119" s="7" t="str">
        <x:v>["QlikView Expressor", "data warehouse", "decision support systems", "interact with users to gather requirements"]</x:v>
      </x:c>
      <x:c r="H119" s="7" t="str">
        <x:v>["data warehouse"]</x:v>
      </x:c>
      <x:c r="I119" s="7" t="str">
        <x:v>[]</x:v>
      </x:c>
      <x:c r="J119" s="7" t="str">
        <x:v>["data_engineering"]</x:v>
      </x:c>
      <x:c r="K119" s="7" t="str">
        <x:v>["data_analysis"]</x:v>
      </x:c>
      <x:c r="L119" s="7" t="str">
        <x:v>["data_analysis", "data_engineering"]</x:v>
      </x:c>
      <x:c r="M119" s="7" t="str">
        <x:v>["data_analysis", "data_engineering"]</x:v>
      </x:c>
      <x:c r="N119" s="7" t="str">
        <x:v>["data_analysis", "data_engineering"]</x:v>
      </x:c>
      <x:c r="O119" s="7" t="str">
        <x:v>["esco", "title", "description"]</x:v>
      </x:c>
      <x:c r="P119" s="7" t="str">
        <x:v>[]</x:v>
      </x:c>
      <x:c r="Q119" s="8" t="str">
        <x:v>yes</x:v>
      </x:c>
      <x:c r="R119" s="8" t="str">
        <x:v>yes</x:v>
      </x:c>
      <x:c r="S119" s="8" t="str">
        <x:v>yes</x:v>
      </x:c>
      <x:c r="T119" s="7" t="str">
        <x:v>Reviewed against title, duties, mapped skills and detection sources.</x:v>
      </x:c>
    </x:row>
    <x:row r="120">
      <x:c r="A120" s="5" t="str">
        <x:v>data</x:v>
      </x:c>
      <x:c r="B120" s="5" t="str">
        <x:v>36471429</x:v>
      </x:c>
      <x:c r="C120" s="7" t="str">
        <x:v>Data Engineer Confirmé H/F</x:v>
      </x:c>
      <x:c r="D120" s="7" t="str">
        <x:v>IT-NewVision is an ESN specializing in the integration of information systems for the water and energy sectors. Our expertise covers the entire business cycle: customer relations, collection, pricing, invoicing and data exploitation. "By joining ITNV, you are joining a company convinced that its development depends on that of its employees. We give our new employees a warm welcome and increase the number of opportunities to get together (company evenings, afterworks, seminars, etc.)! " LISTENING MANAGEMENT Our structure, on a human scale, allows each consultant to have a contact person involved in the company's strategy: all our managers are members of the Committee Executive. We promote participatory management and encourage discussion. We encourage initiative: each consultant counts and can bring their vision to the firm's internal projects but also to its strategy. A COMMITTED COMPANY The ITeam is above all a team of women and men, from all backgrounds (10 nationalities represented), passionate about their work, invested and united. Modestly, at our level, we try to adopt the right actions (reducing our digital footprint, eliminating plastic, cleaning beaches, etc.) and speaking out when it is important to us (women's rights day, environment day, Pink October, prevention workshop on health topics). THE ENERGY PROFESSIONS The Energy and Utilities sector, customer relations and billing professions are our DNA. At a time when environmental priorities and behaviors are changing profoundly, we support our clients in their digital transformation. Deregulation, climate change and technological advances impact the challenges of the Utilities sector across the entire value chain: new distribution models and consumption patterns. Benefits: * Restaurant vouchers * Mutual insurance * 50% Transport * RTT CONTEXT OF THE POSITION In a demanding and poorly documented business environment, you will work on Data subjects with high added value, combining data analysis, data engineering and project management. You will play a key interface role between technical teams, business lines and service providers. MAIN MISSIONS DATA / TECHNICAL * Analysis and exploration of complex databases * Work on an ERP * Research and understanding of the data model * Exploration of tables * Extraction and structuring of data * In-depth database searches, detailed understanding of data * Advanced SQL querying (essential) PROJECT MANAGEMENT &amp; COORDINATION * Management of Data subjects in a corporate context with: * Low business availability * Need to go searching information proactively * Relational sensitivity and diplomacy * Supervision and animation: * 2 work-study students * 1 Data technician (service provider working on Talend / Power BI) * Management of the relationship with the service provider and his manager ADDITIONAL INFORMATION * 2 days of teleworking * Travel to Eure et Loire 3 days per week * Hotel and train covered * Travel at the same time as other consultants TECHNICAL SKILLS * Solid Data Analyst background / Data Engineer * Excellent SQL level * Good understanding of databases and data models * Professional knowledge of electricity or water is a real asset EXPERIENCE &amp; POSTURE * Proven experience in project management * Ability to evolve in a complex and unstructured environment * Autonomy, curiosity, interpersonal skills * Ability to supervise and improve skills Expected experience * Approximately 7 years of experience, * Professional maturity and strong autonomy</x:v>
      </x:c>
      <x:c r="E120" s="5" t="str">
        <x:v>47500.0</x:v>
      </x:c>
      <x:c r="F120" s="5" t="str">
        <x:v>07e60525-1aad-4099-aaf3-2c7014c92212</x:v>
      </x:c>
      <x:c r="G120" s="7" t="str">
        <x:v>["customer relationship management", "data engineering", "demonstrate curiosity", "introduce new employees", "issue sales invoices", "perform project management", "study a collection"]</x:v>
      </x:c>
      <x:c r="H120" s="7" t="str">
        <x:v>["data engineering"]</x:v>
      </x:c>
      <x:c r="I120" s="7" t="str">
        <x:v>["customer relationship management", "demonstrate curiosity"]</x:v>
      </x:c>
      <x:c r="J120" s="7" t="str">
        <x:v>["data_engineering"]</x:v>
      </x:c>
      <x:c r="K120" s="7" t="str">
        <x:v>["data_engineering"]</x:v>
      </x:c>
      <x:c r="L120" s="7" t="str">
        <x:v>["data_analysis", "data_engineering"]</x:v>
      </x:c>
      <x:c r="M120" s="7" t="str">
        <x:v>["data_analysis", "data_engineering"]</x:v>
      </x:c>
      <x:c r="N120" s="7" t="str">
        <x:v>["data_engineering"]</x:v>
      </x:c>
      <x:c r="O120" s="7" t="str">
        <x:v>["esco", "title", "description"]</x:v>
      </x:c>
      <x:c r="P120" s="7" t="str">
        <x:v>["creativity", "customer_interaction"]</x:v>
      </x:c>
      <x:c r="Q120" s="8" t="str">
        <x:v>yes</x:v>
      </x:c>
      <x:c r="R120" s="8" t="str">
        <x:v>yes</x:v>
      </x:c>
      <x:c r="S120" s="8" t="str">
        <x:v>yes</x:v>
      </x:c>
      <x:c r="T120" s="7" t="str">
        <x:v>Reviewed against title, duties, mapped skills and detection sources.</x:v>
      </x:c>
    </x:row>
    <x:row r="121">
      <x:c r="A121" s="5" t="str">
        <x:v>data</x:v>
      </x:c>
      <x:c r="B121" s="5" t="str">
        <x:v>202QKBB</x:v>
      </x:c>
      <x:c r="C121" s="7" t="str">
        <x:v>Data Analyst (M/F)</x:v>
      </x:c>
      <x:c r="D121" s="7" t="str">
        <x:v>Job Link, a specialized CDD/CDI and interim recruitment firm, is recruiting a Data Analyst for one of its clients specializing in transport as part of a 2-month interim mission. As such, your missions are as follows: Management of supplier contracts: Updating deadlines, renewals, and conditions. Margin monitoring: Analysis of margins by site, customer and service, proposal for corrective actions. Supplier relations: Annual price negotiations and optimization of purchase/sales prices. Operational support: Daily alert on pricing anomalies and support for internal teams. Contract in 35 hours remuneration 30k B/A position to be filled at the beginning of February 2026</x:v>
      </x:c>
      <x:c r="E121" s="5" t="str">
        <x:v>29000.0</x:v>
      </x:c>
      <x:c r="F121" s="5" t="str">
        <x:v>d3edb8f8-3a06-47a0-8fb9-9b212c006aa2</x:v>
      </x:c>
      <x:c r="G121" s="7" t="str">
        <x:v>["negotiate terms with suppliers"]</x:v>
      </x:c>
      <x:c r="H121" s="7" t="str">
        <x:v>[]</x:v>
      </x:c>
      <x:c r="I121" s="7" t="str">
        <x:v>["negotiate terms with suppliers"]</x:v>
      </x:c>
      <x:c r="J121" s="7" t="str">
        <x:v>[]</x:v>
      </x:c>
      <x:c r="K121" s="7" t="str">
        <x:v>["data_analysis"]</x:v>
      </x:c>
      <x:c r="L121" s="7" t="str">
        <x:v>[]</x:v>
      </x:c>
      <x:c r="M121" s="7" t="str">
        <x:v>["data_analysis"]</x:v>
      </x:c>
      <x:c r="N121" s="7" t="str">
        <x:v>["data_analysis"]</x:v>
      </x:c>
      <x:c r="O121" s="7" t="str">
        <x:v>["title"]</x:v>
      </x:c>
      <x:c r="P121" s="7" t="str">
        <x:v>["communication"]</x:v>
      </x:c>
      <x:c r="Q121" s="8" t="str">
        <x:v>yes</x:v>
      </x:c>
      <x:c r="R121" s="8" t="str">
        <x:v>yes</x:v>
      </x:c>
      <x:c r="S121" s="8" t="str">
        <x:v>yes</x:v>
      </x:c>
      <x:c r="T121" s="7" t="str">
        <x:v>Reviewed against title, duties, mapped skills and detection sources.</x:v>
      </x:c>
    </x:row>
    <x:row r="122">
      <x:c r="A122" s="5" t="str">
        <x:v>data</x:v>
      </x:c>
      <x:c r="B122" s="5" t="str">
        <x:v>202HLQF</x:v>
      </x:c>
      <x:c r="C122" s="7" t="str">
        <x:v>Java / Struts Developer (M/F)</x:v>
      </x:c>
      <x:c r="D122" s="7" t="str">
        <x:v>Who are we ? We are passionate about new technologies, and you? Joining Amiltone means integrating dynamic and united teams within the framework of innovative and ambitious projects. We meet our clients' technical challenges and support them in their digital transformation. Why choose Amiltone? Amiltone, more than a company, a state of mind! Our goal? Your professional development! We are committed to: Supporting you as best we can through personalized monitoring Helping you improve your skills by offering training throughout your career Understanding your needs and respecting our commitments Offering you quality missions with innovative technologies Cultivating your potential thanks to our personal development program Addvise Your well-being also involves extra-professional activities, which is why we offer sports sessions led by our coaches, evenings to get together and entertainment (at the agency or in video), Gaming nights... Your missions? Integrated into our teams on our Factory projects or with our clients, you will work on a backend development project. As a Java / Struts Developer (M/F), you carry out the following missions: - The development of the tasks assigned to you while respecting the specifications - The Code Review with the other developers of the project - The writing of unit and functional tests during your developments - The industrialization of your developments via our PIC (Jenkins) - Participation in the Daily Scrum Meeting, Sprint Review, Sprint Retro and Planning Poker The technical stack: - Back End: Java (J2EE), Apache Struts - Database: SQL (MySQL, PostgreSQL, SQLServer) and/or NoSQL (MongoDB, Cassandra, Redis) - Tools: Git, Jenkins, Jira So? Ready to become an Amiltonian? Do not hesitate to apply if you recognize yourself: - Bac+3 to Bac+5 graduate (Bachelor's, Master's or engineering school), you have 3 years of experience in Java development. - You like to discover new functional contexts and understand the objectives of the applications you develop. - Comfortable in an agile organization, you demonstrate rigor and apply Amiltone quality standards throughout the duration of developments. In addition to your technical skills, we are also interested in your potential and your motivation. Our positions are open to people with disabilities</x:v>
      </x:c>
      <x:c r="E122" s="5" t="str">
        <x:v>35000.0</x:v>
      </x:c>
      <x:c r="F122" s="5" t="str">
        <x:v>c40a2919-48a9-40ea-b506-1f34f693496d</x:v>
      </x:c>
      <x:c r="G122" s="7" t="str">
        <x:v>["Jenkins (tools for software configuration management)", "NoSQL", "PostgreSQL", "entertainment industry", "support employability of people with disabilities"]</x:v>
      </x:c>
      <x:c r="H122" s="7" t="str">
        <x:v>["Jenkins (tools for software configuration management)", "NoSQL", "PostgreSQL"]</x:v>
      </x:c>
      <x:c r="I122" s="7" t="str">
        <x:v>[]</x:v>
      </x:c>
      <x:c r="J122" s="7" t="str">
        <x:v>["cloud_devops", "data_engineering"]</x:v>
      </x:c>
      <x:c r="K122" s="7" t="str">
        <x:v>[]</x:v>
      </x:c>
      <x:c r="L122" s="7" t="str">
        <x:v>["data_engineering", "software", "cloud_devops"]</x:v>
      </x:c>
      <x:c r="M122" s="7" t="str">
        <x:v>["cloud_devops", "data_engineering", "software"]</x:v>
      </x:c>
      <x:c r="N122" s="7" t="str">
        <x:v>["data_engineering", "cloud_devops"]</x:v>
      </x:c>
      <x:c r="O122" s="7" t="str">
        <x:v>["esco", "description"]</x:v>
      </x:c>
      <x:c r="P122" s="7" t="str">
        <x:v>[]</x:v>
      </x:c>
      <x:c r="Q122" s="8" t="str">
        <x:v>yes</x:v>
      </x:c>
      <x:c r="R122" s="8" t="str">
        <x:v>no</x:v>
      </x:c>
      <x:c r="S122" s="8" t="str">
        <x:v>yes</x:v>
      </x:c>
      <x:c r="T122" s="7" t="str">
        <x:v>Η κύρια κατηγορία software λείπει από τη strict ταξινόμηση Java developer.</x:v>
      </x:c>
    </x:row>
    <x:row r="123">
      <x:c r="A123" s="5" t="str">
        <x:v>data</x:v>
      </x:c>
      <x:c r="B123" s="5" t="str">
        <x:v>28368369</x:v>
      </x:c>
      <x:c r="C123" s="7" t="str">
        <x:v>Java developer (M/F)</x:v>
      </x:c>
      <x:c r="D123" s="7" t="str">
        <x:v>Actual Talent is the specialized division of Actual group, the 5th largest player in work and employment in France with a resolutely humanist vision. With our clients, we deploy Talent acquisition and evaluation solutions that build the performance of their organization today and tomorrow. For more than 20 years, our specialized consultants in our 13 offices in France have supported companies in their search for executives, experts and qualified profiles for temporary, permanent, fixed-term or service provision. This is a great interim opportunity, lasting up to 18 months of mission. Our client is a growing French software publisher, based in the heart of Lyon. Recognized for their technical expertise and their culture of innovation. You will join a human-sized technical team (6 people) to work on the core of their software platform. This is the opportunity to join a solid structure where code quality and performance are priorities. Your Missions Within the R&amp;D team, you are involved in the entire application life cycle, from design to production. You will work on data processing, algorithm and performance issues. Your daily life Design: Participate in needs analysis and write technical specifications. Development: Design and code new Backend functionalities (and a little Frontend) on critical applications. Quality &amp; Tests: Ensure the robustness of the code through testing phases and the correction of anomalies. Deployment: Participate in production releases and monitoring of applications. Monitoring: Stay up to date with new Java versions and ecosystem tools. The Technical Stack A rich and modern environment, ideal for a technical enthusiast: Languages: Java JEE (v11 to 17), Hibernate, REST. Data &amp; Performance: Use of Kafka, RabbitMQ, Redis (Message broker / Cache) and Oracle, MongoDB, SQL databases. Front (most): Javascript, HTML, CSS, JQuery. CI/CD: Jenkins, Apache. Location: modern premises in Lyon and very easy to access. Meaning: Participation in innovative projects with a concrete impact Experience: You have at least 5 years of experience in Java development. Training: You ideally have a Bac +5 in computer science. Skills: You are proficient in Java Backend development. Sensitivity or competence in the Front-end part is a appreciated asset. Mindset: You are curious, organized and you like teamwork. You have a critical mind and like to understand the issues behind the code</x:v>
      </x:c>
      <x:c r="E123" s="5" t="str">
        <x:v>42500.0</x:v>
      </x:c>
      <x:c r="F123" s="5" t="str">
        <x:v>57af9090-55b4-4911-b2d0-86db01c00b02</x:v>
      </x:c>
      <x:c r="G123" s="7" t="str">
        <x:v>["Jenkins (tools for software configuration management)", "Oracle Relational Database", "database", "define technical requirements", "develop design concept", "ecosystem management", "provide technical expertise", "talent management strategies", "use markup languages"]</x:v>
      </x:c>
      <x:c r="H123" s="7" t="str">
        <x:v>["Jenkins (tools for software configuration management)", "Oracle Relational Database", "database"]</x:v>
      </x:c>
      <x:c r="I123" s="7" t="str">
        <x:v>[]</x:v>
      </x:c>
      <x:c r="J123" s="7" t="str">
        <x:v>["cloud_devops", "data_engineering"]</x:v>
      </x:c>
      <x:c r="K123" s="7" t="str">
        <x:v>["software"]</x:v>
      </x:c>
      <x:c r="L123" s="7" t="str">
        <x:v>["data_engineering", "software", "cloud_devops"]</x:v>
      </x:c>
      <x:c r="M123" s="7" t="str">
        <x:v>["cloud_devops", "data_engineering", "software"]</x:v>
      </x:c>
      <x:c r="N123" s="7" t="str">
        <x:v>["data_engineering", "software", "cloud_devops"]</x:v>
      </x:c>
      <x:c r="O123" s="7" t="str">
        <x:v>["esco", "title", "description"]</x:v>
      </x:c>
      <x:c r="P123" s="7" t="str">
        <x:v>[]</x:v>
      </x:c>
      <x:c r="Q123" s="8" t="str">
        <x:v>yes</x:v>
      </x:c>
      <x:c r="R123" s="8" t="str">
        <x:v>yes</x:v>
      </x:c>
      <x:c r="S123" s="8" t="str">
        <x:v>yes</x:v>
      </x:c>
      <x:c r="T123" s="7" t="str">
        <x:v>Reviewed against title, duties, mapped skills and detection sources.</x:v>
      </x:c>
    </x:row>
    <x:row r="124">
      <x:c r="A124" s="5" t="str">
        <x:v>data</x:v>
      </x:c>
      <x:c r="B124" s="5" t="str">
        <x:v>204JZHC</x:v>
      </x:c>
      <x:c r="C124" s="7" t="str">
        <x:v>Business Intelligence Consultant (M/F)</x:v>
      </x:c>
      <x:c r="D124" s="7" t="str">
        <x:v>Our company, specialized in the deployment of Business Intelligence solutions in SAP environments, is looking for collaborators to support it in the development of its Business Intelligence activity. Do you want to develop your skills in the field of Business Intelligence and participate in large-scale national and international projects? We integrate you into a dynamic team and we take care of your SAP BI training. You will participate in the development of a new BI offer, you will be in charge of the design phases and the evolutionary maintenance of the solutions already deployed.</x:v>
      </x:c>
      <x:c r="E124" s="5" t="str">
        <x:v>39000.0</x:v>
      </x:c>
      <x:c r="F124" s="5" t="str">
        <x:v>35553663-deab-4d9a-bf22-15c1625d28e8</x:v>
      </x:c>
      <x:c r="G124" s="7" t="str">
        <x:v>["SAP Data Services", "business intelligence"]</x:v>
      </x:c>
      <x:c r="H124" s="7" t="str">
        <x:v>["business intelligence"]</x:v>
      </x:c>
      <x:c r="I124" s="7" t="str">
        <x:v>[]</x:v>
      </x:c>
      <x:c r="J124" s="7" t="str">
        <x:v>["data_analysis"]</x:v>
      </x:c>
      <x:c r="K124" s="7" t="str">
        <x:v>["data_analysis"]</x:v>
      </x:c>
      <x:c r="L124" s="7" t="str">
        <x:v>["data_analysis"]</x:v>
      </x:c>
      <x:c r="M124" s="7" t="str">
        <x:v>["data_analysis"]</x:v>
      </x:c>
      <x:c r="N124" s="7" t="str">
        <x:v>["data_analysis"]</x:v>
      </x:c>
      <x:c r="O124" s="7" t="str">
        <x:v>["esco", "title", "description"]</x:v>
      </x:c>
      <x:c r="P124" s="7" t="str">
        <x:v>[]</x:v>
      </x:c>
      <x:c r="Q124" s="8" t="str">
        <x:v>yes</x:v>
      </x:c>
      <x:c r="R124" s="8" t="str">
        <x:v>yes</x:v>
      </x:c>
      <x:c r="S124" s="8" t="str">
        <x:v>yes</x:v>
      </x:c>
      <x:c r="T124" s="7" t="str">
        <x:v>Reviewed against title, duties, mapped skills and detection sources.</x:v>
      </x:c>
    </x:row>
    <x:row r="125">
      <x:c r="A125" s="5" t="str">
        <x:v>data</x:v>
      </x:c>
      <x:c r="B125" s="5" t="str">
        <x:v>001835</x:v>
      </x:c>
      <x:c r="C125" s="7" t="str">
        <x:v>Data Engineer - ETL SAP BO / Logistics (M/F)</x:v>
      </x:c>
      <x:c r="D125" s="7" t="str">
        <x:v>The company supported and the missions: Are you passionate about data, flow engineering and complex decision-making environments? Do you want to join a major player in logistics and supply in the midst of digital transformation? As part of a job creation, we are looking for a Data Engineer, with solid expertise in ETL and WMS/Logistics issues, to take charge of the design and automation of data flows feeding the new decision-making platform (SAP BO). You will play a central role in the reliability and valorization of very high volume critical data from the warehouse information system. Your Key Missions and Responsibilities Integrated into the IT team and in close collaboration with the Supply Chain business teams as well as Management, your missions will mainly focus on the implementation and maintenance of the ETL (Extract, Transform, Load) architecture around SAP BO: - Data Flow Engineering (ETL): - Design, develop and automate the extraction processes of massive data from logistics production systems (CSV files of the warehouse IS, etc.). - Ensure the transformation, cleaning and reliability of this data to guarantee their quality and compliance before injection. - Configure and optimize the loading (Load) of data into the central database (Data Warehouse) via the SAP BO tool (with particular attention to batch processing to manage volume). - Decision Design:- Ensure the link and integration of data between transactional systems (WMS) and analysis tools (SAP BO). - Participate in the creation and maintenance of SAP BusinessObjects Universes (via Designer or Information Design Tool) to structure data. - Define and automate key performance indicators (KPIs) linked to logistics processes (receptions, preparations, shipments, stocks, warehouse productivity). - Support and Optimization:- Carry out technological monitoring of BI/SAP environments and propose continuous improvements to the architecture and ETL processes. - Ensure the maintenance of deployed solutions and manage level 3 technical support in the event of flow malfunctions. CharacteristicDetailLocationCastelnaudary (11) - 50 min from ToulouseType of ContractCDIExperienceConfirmed (5 years minimum)Remuneration45K€ to 55K€ gross annual (depending on experience) Profile: - Training: Bac +3 to Bac +5 level diploma in IT, Data Science, BI, or Logistics. - Experience: You have at least 5 years of successful experience in a similar position as BI Developer, Data Engineer or ETL Consultant, ideally in a logistics context. - Imperative Technical Skills: - Mastery of ETL and Data Warehouse design. - Excellent knowledge of SAP BusinessObjects environments (BO Designer / IDT) for universe creation. - Strong appetite for logistics modules and processes (WMS) and a good understanding of transactional systems (SAP, WMS). - SQL querying skills and knowledge of Cloud environments (GCP/BigQuery) would be a plus for advancement. - Soft skills:- Absolute rigor and permanent concern for the quality and reliability of data. - Autonomy, strength of proposal and spirit of initiative. - Excellent interpersonal skills and listening skills to collaborate effectively with business teams (logistics, warehouse) and understand their needs. Advantages: AdvantagesCDI within a solid group - +/-50K€ + fixed annual bonus + executive bonus + profit-sharing with PEE - Executive status 10-day package RTT - Company daycare and housing/relocation assistance Premises based in Castelnaudary - 50 min from Toulouse Being at the origin of a project in full construction State-of-the-art environment - SME culture with broad decision-making power and consideration Recruitment processCareer interview with Externatic Technical interview with the IT and Supply Chain team HR interview and final validation by management. Externatic supports you throughout the process for a smooth and transparent experience.</x:v>
      </x:c>
      <x:c r="E125" s="5" t="str">
        <x:v>50000.0</x:v>
      </x:c>
      <x:c r="F125" s="5" t="str">
        <x:v>e297ec12-4712-40a4-ad98-ba004cacb205</x:v>
      </x:c>
      <x:c r="G125" s="7" t="str">
        <x:v>["assess reliability of data", "clean warehouse", "data engineering", "data science", "data warehouse", "logistics", "show initiative", "solution deployment", "supply chain management"]</x:v>
      </x:c>
      <x:c r="H125" s="7" t="str">
        <x:v>["data engineering", "data science", "data warehouse"]</x:v>
      </x:c>
      <x:c r="I125" s="7" t="str">
        <x:v>["show initiative"]</x:v>
      </x:c>
      <x:c r="J125" s="7" t="str">
        <x:v>["data_analysis", "data_engineering"]</x:v>
      </x:c>
      <x:c r="K125" s="7" t="str">
        <x:v>["data_engineering"]</x:v>
      </x:c>
      <x:c r="L125" s="7" t="str">
        <x:v>["data_analysis", "data_engineering", "cloud_devops"]</x:v>
      </x:c>
      <x:c r="M125" s="7" t="str">
        <x:v>["cloud_devops", "data_analysis", "data_engineering"]</x:v>
      </x:c>
      <x:c r="N125" s="7" t="str">
        <x:v>["data_analysis", "data_engineering"]</x:v>
      </x:c>
      <x:c r="O125" s="7" t="str">
        <x:v>["esco", "title", "description"]</x:v>
      </x:c>
      <x:c r="P125" s="7" t="str">
        <x:v>["initiative_responsibility"]</x:v>
      </x:c>
      <x:c r="Q125" s="8" t="str">
        <x:v>yes</x:v>
      </x:c>
      <x:c r="R125" s="8" t="str">
        <x:v>yes</x:v>
      </x:c>
      <x:c r="S125" s="8" t="str">
        <x:v>yes</x:v>
      </x:c>
      <x:c r="T125" s="7" t="str">
        <x:v>Reviewed against title, duties, mapped skills and detection sources.</x:v>
      </x:c>
    </x:row>
    <x:row r="126">
      <x:c r="A126" s="5" t="str">
        <x:v>data</x:v>
      </x:c>
      <x:c r="B126" s="5" t="str">
        <x:v>27885073</x:v>
      </x:c>
      <x:c r="C126" s="7" t="str">
        <x:v>Head of IT department (M/F)</x:v>
      </x:c>
      <x:c r="D126" s="7" t="str">
        <x:v>Attached to the General Services Department and true guarantor of all information systems, you are in charge of the operation, maintenance and development of the association's IT system in conjunction with all businesses / internal clients / external partners, you ensure the performance and optimization of information systems within our association (265 employees spread across 28 sites). Here is a non-exhaustive list of the missions entrusted: Infrastructure management - Supervise the administration and maintenance of system and network infrastructures (servers, storage, LAN/WAN networks, security) in all the association's sites - Guarantee the high availability and performance of the association's information systems - Implement the security solutions necessary to protect data and systems - Manage relationships with suppliers and IT service providers Project management - Pilot projects for the evolution and transformation of IT infrastructures (migrations, deployments, etc.) - Define budgets and project schedules - Ensure project monitoring and reporting - Collaborate with the different departments to understand their needs and propose adapted solutions - Participate in the drafting of specifications and the monitoring of calls for tenders IS Team management - Supervise and lead a team of systems and network administrators - Define the team's objectives and priorities - Ensure the development of the skills of its employees - Plan and coordinate technical interventions on the different sites Technology monitoring - Keep informed of technological developments and best practices in systems and networks - Propose innovative solutions to improve the efficiency and security of IT infrastructures - A real force of proposal, you have a good knowledge of programming (data query, administration of Oracle databases, SQL server, MySQL, connection modes) as well as networks (LAN/WAN, VPN, firewalls) and architectures (DHCP, WIFI, DIRECTORY, rights management under Windows), administration of virtualized servers (VMware), as well as skills in IT security and risk management. With Bac +5 training, rigorous, autonomous, perfectly organized, customer-oriented, strong responsiveness and ability to manage unforeseen events, you are recognized for your expertise in your functions as Head of IT service and you have proven experience of at least 5 years in the same type of position and in a multi-site environment. Qualifications: Prior experience in a similar position with team management Transversal knowledge of systems and networks for a solid technical foundation Personal qualities: Rigor and autonomy in task management Ability to analyze and synthesize to understand and respond to needs Spirit of initiative and proactivity to propose improvements and anticipate problems Excellent communication skills, written and oral Good interpersonal skills to collaborate with varied teams and people of all levels</x:v>
      </x:c>
      <x:c r="E126" s="5" t="str">
        <x:v>46800.0</x:v>
      </x:c>
      <x:c r="F126" s="5" t="str">
        <x:v>82f90e87-de92-4678-adae-61d3e5f7e1e4</x:v>
      </x:c>
      <x:c r="G126" s="7" t="str">
        <x:v>["SQL Server", "cyber security", "define firewall rules", "internal risk management policy", "maintain relationship with suppliers", "manage ICT virtualisation environments", "manage intellectual property rights", "manage maintenance operations", "manage tender processes", "operate relational database management system", "show initiative", "solution deployment"]</x:v>
      </x:c>
      <x:c r="H126" s="7" t="str">
        <x:v>["SQL Server", "cyber security", "operate relational database management system"]</x:v>
      </x:c>
      <x:c r="I126" s="7" t="str">
        <x:v>["show initiative"]</x:v>
      </x:c>
      <x:c r="J126" s="7" t="str">
        <x:v>["cybersecurity", "data_analysis", "data_engineering"]</x:v>
      </x:c>
      <x:c r="K126" s="7" t="str">
        <x:v>[]</x:v>
      </x:c>
      <x:c r="L126" s="7" t="str">
        <x:v>["data_engineering"]</x:v>
      </x:c>
      <x:c r="M126" s="7" t="str">
        <x:v>["cybersecurity", "data_analysis", "data_engineering"]</x:v>
      </x:c>
      <x:c r="N126" s="7" t="str">
        <x:v>["data_engineering"]</x:v>
      </x:c>
      <x:c r="O126" s="7" t="str">
        <x:v>["esco", "description"]</x:v>
      </x:c>
      <x:c r="P126" s="7" t="str">
        <x:v>["initiative_responsibility"]</x:v>
      </x:c>
      <x:c r="Q126" s="8" t="str">
        <x:v>yes</x:v>
      </x:c>
      <x:c r="R126" s="8" t="str">
        <x:v>yes</x:v>
      </x:c>
      <x:c r="S126" s="8" t="str">
        <x:v>yes</x:v>
      </x:c>
      <x:c r="T126" s="7" t="str">
        <x:v>Reviewed against title, duties, mapped skills and detection sources.</x:v>
      </x:c>
    </x:row>
    <x:row r="127">
      <x:c r="A127" s="5" t="str">
        <x:v>data</x:v>
      </x:c>
      <x:c r="B127" s="5" t="str">
        <x:v>27915590</x:v>
      </x:c>
      <x:c r="C127" s="7" t="str">
        <x:v>Full Stack Developers M/F</x:v>
      </x:c>
      <x:c r="D127" s="7" t="str">
        <x:v>Viveris is a consulting and engineering group specializing in the management and implementation of projects in the fields of IT and electronics. Engaging with Viveris is the assurance of meeting technical and human challenges while working on innovative projects in a collaborative and supportive environment. Mission context: Are you a Full Stack developer and would you like to get involved in innovative projects? So join Viveris! Viveris is recruiting several Full Stack developer profiles to support the digital transformation of its clients in different sectors of activity: industry, banking/insurance, administration, etc. Responsibilities: - Analyze customer needs; - Define the technical architecture; - Design solutions; - Develop applications; - Organize the recipe for application solutions; - Control and maintain the proper functioning of applications. Profile sought: Bac +5 training (Engineering or University with a focus on IT), you ideally have experience of at least 1 year. Technical skills: Depending on the projects, the applications are produced in different technologies: - Back-end: PHP, C# .NET, Java, NodeJS - Front-end: Angular, ReactJS, VueJS, Javascript - Databases: Oracle, SQL Server, MySQL Our advantages: - Attractive and scalable remuneration, family mutual with high guarantee; - Restaurant tickets covered at 60%, 100% urban transport ticket reimbursed; - Incentive, participation and co-optation bonuses; - 2 days of teleworking per week; - Continuing training with LinkedIn Learning and our technical communities.</x:v>
      </x:c>
      <x:c r="E127" s="5" t="str">
        <x:v>37500.0</x:v>
      </x:c>
      <x:c r="F127" s="5" t="str">
        <x:v>e3229e40-f571-4b26-baca-29edc8fe313e</x:v>
      </x:c>
      <x:c r="G127" s="7" t="str">
        <x:v>["C#", "Drupal", "ICT project management", "Java (computer programming)", "Rapid application development", "SQL Server", "consumer electronics", "identify customer's needs", "software architecture models"]</x:v>
      </x:c>
      <x:c r="H127" s="7" t="str">
        <x:v>["C#", "Java (computer programming)", "Rapid application development", "SQL Server", "software architecture models"]</x:v>
      </x:c>
      <x:c r="I127" s="7" t="str">
        <x:v>["identify customer's needs"]</x:v>
      </x:c>
      <x:c r="J127" s="7" t="str">
        <x:v>["data_analysis", "data_engineering", "software"]</x:v>
      </x:c>
      <x:c r="K127" s="7" t="str">
        <x:v>["software"]</x:v>
      </x:c>
      <x:c r="L127" s="7" t="str">
        <x:v>["data_engineering", "software"]</x:v>
      </x:c>
      <x:c r="M127" s="7" t="str">
        <x:v>["data_analysis", "data_engineering", "software"]</x:v>
      </x:c>
      <x:c r="N127" s="7" t="str">
        <x:v>["data_engineering", "software"]</x:v>
      </x:c>
      <x:c r="O127" s="7" t="str">
        <x:v>["esco", "title", "description"]</x:v>
      </x:c>
      <x:c r="P127" s="7" t="str">
        <x:v>["customer_interaction"]</x:v>
      </x:c>
      <x:c r="Q127" s="8" t="str">
        <x:v>yes</x:v>
      </x:c>
      <x:c r="R127" s="8" t="str">
        <x:v>yes</x:v>
      </x:c>
      <x:c r="S127" s="8" t="str">
        <x:v>yes</x:v>
      </x:c>
      <x:c r="T127" s="7" t="str">
        <x:v>Reviewed against title, duties, mapped skills and detection sources.</x:v>
      </x:c>
    </x:row>
    <x:row r="128">
      <x:c r="A128" s="5" t="str">
        <x:v>data</x:v>
      </x:c>
      <x:c r="B128" s="5" t="str">
        <x:v>001702</x:v>
      </x:c>
      <x:c r="C128" s="7" t="str">
        <x:v>SQL Developer M/F</x:v>
      </x:c>
      <x:c r="D128" s="7" t="str">
        <x:v>The company supported and the missions: Positioned with major recognized e-commerce and retail accounts, this company supports its clients in their international development by offering personalized, secure and innovative solutions. The approach focused on data and performance makes it a key player in the transformation of purchasing journeys. As part of a major overhaul and migration project of a strategic application, the company - supported by Externatic, a specialized IT recruitment firm - is recruiting a permanent SQL Developer M-F to join its teams Main missions - Organize and manage data management systems - Ensure consistency, quality, security, performance, backup and availability of the system 24/7; - Install, configure, administer and optimize all of the different IS databases; - Assist and advise development teams to optimize performance; - Identify the needs of the development teams; - Model databases for new projects; - Manage access rights to databases; - Implement tools to facilitate the use of DBMS on a daily basis; - Guarantee continuity of service through participation in on-call duties and management of critical incidents; - Ensure technological monitoring in order to optimize and develop the IS. Technologies - PostgreSQL - GNU/Linux Debian - Munin - Powa Profile: What you bring Coming from higher education in computer science, you have significant experience in SQL query optimization Advantages: Your working conditions - Remuneration: Fixed between €50,000 and €55,000 gross annually. - Well-paid on-call duties are expected in this position - Location: Ile de Nantes - Remote 2 days per week Recruitment process - An interview with Perrine from Externatic - An HR meeting - A second exchange with the tech lead</x:v>
      </x:c>
      <x:c r="E128" s="5" t="str">
        <x:v>50000.0</x:v>
      </x:c>
      <x:c r="F128" s="5" t="str">
        <x:v>9e2e6e1e-363b-4e1b-a673-7bc0f7343300</x:v>
      </x:c>
      <x:c r="G128" s="7" t="str">
        <x:v>["coordinate security", "data analytics", "e-commerce systems", "operate relational database management system"]</x:v>
      </x:c>
      <x:c r="H128" s="7" t="str">
        <x:v>["data analytics", "operate relational database management system"]</x:v>
      </x:c>
      <x:c r="I128" s="7" t="str">
        <x:v>[]</x:v>
      </x:c>
      <x:c r="J128" s="7" t="str">
        <x:v>["data_analysis", "data_engineering"]</x:v>
      </x:c>
      <x:c r="K128" s="7" t="str">
        <x:v>[]</x:v>
      </x:c>
      <x:c r="L128" s="7" t="str">
        <x:v>["data_engineering", "networks_systems"]</x:v>
      </x:c>
      <x:c r="M128" s="7" t="str">
        <x:v>["data_analysis", "data_engineering", "networks_systems"]</x:v>
      </x:c>
      <x:c r="N128" s="7" t="str">
        <x:v>["data_engineering"]</x:v>
      </x:c>
      <x:c r="O128" s="7" t="str">
        <x:v>["esco", "description"]</x:v>
      </x:c>
      <x:c r="P128" s="7" t="str">
        <x:v>[]</x:v>
      </x:c>
      <x:c r="Q128" s="8" t="str">
        <x:v>yes</x:v>
      </x:c>
      <x:c r="R128" s="8" t="str">
        <x:v>yes</x:v>
      </x:c>
      <x:c r="S128" s="8" t="str">
        <x:v>yes</x:v>
      </x:c>
      <x:c r="T128" s="7" t="str">
        <x:v>Reviewed against title, duties, mapped skills and detection sources.</x:v>
      </x:c>
    </x:row>
    <x:row r="129">
      <x:c r="A129" s="5" t="str">
        <x:v>data</x:v>
      </x:c>
      <x:c r="B129" s="5" t="str">
        <x:v>27803179</x:v>
      </x:c>
      <x:c r="C129" s="7" t="str">
        <x:v>Data Analyst (F/H)</x:v>
      </x:c>
      <x:c r="D129" s="7" t="str">
        <x:v>The Member Needs Responses and Innovation Department's main objective is to provide quality responses, simple but comprehensive, innovative and differentiating, perfectly adapted to the needs of members and prospects. Within the Digital Marketing and Customer Relations Department and more particularly the Marketing Business Solutions and Customer Data entity, you will be responsible for maintaining, developing and supporting users on the Marketing database. In this context, you will be required to: - Technical study and expression of needs - Contribute to the collection of user needs on the solution as well as on the evolution of the Marketing base. Describe these developments, prioritize them and ensure a MOA role with the DSI Data and Marketing teams. - Provide technical assistance - Support the NEMO team on requests related to the Oracle database (carrying out complex queries, analyses, recommendations) and on the operation of the various Unica modules. - Management of anomalies and MCO - In the event of an operating anomaly detected by users or administrators themselves: check that it is indeed an anomaly, analyze and describe it, record it and follow its correct resolution in contact with the DDSIG and HCL. Regularly inform users of anomalies detected and corrections delivered. - User Support - Provide first-level support to users with questions about the use of customer data. This assistance can take the form of a telephone response, up to a trip to the site for support. - Monitoring the proper maintenance of repositories - Ensure compliance with the rules for naming and storing objects created and shared by users: campaign projects, catalog of offers, etc. - Bac +5 in marketing or IT (or equivalent level justified by acquired experience) - Significant experience in marketing campaign management is essential - Knowledge of a campaign management tool is required, ideally the UNICA solution - Very good command of the Oracle DBMS, knowledge of the Hive DBMS, very good command of SQL languages and PLSQL - Good mastery of data modeling - Knowledge of insurance data - Good mastery of the Agile SAFE approach You are recognized for: - your sense of organization, your autonomy and your rigor, - your ability to anticipate, to propose innovative solutions, - your spirit of analysis and synthesis, - your writing skills, - your interpersonal skills, particularly in leading work groups - your ability to work in a team and adapt to the constraints of the service.</x:v>
      </x:c>
      <x:c r="E129" s="5" t="str">
        <x:v>42500.0</x:v>
      </x:c>
      <x:c r="F129" s="5" t="str">
        <x:v>d3edb8f8-3a06-47a0-8fb9-9b212c006aa2</x:v>
      </x:c>
      <x:c r="G129" s="7" t="str">
        <x:v>["SQL", "database management systems", "identify customer's needs"]</x:v>
      </x:c>
      <x:c r="H129" s="7" t="str">
        <x:v>["SQL", "database management systems"]</x:v>
      </x:c>
      <x:c r="I129" s="7" t="str">
        <x:v>["identify customer's needs"]</x:v>
      </x:c>
      <x:c r="J129" s="7" t="str">
        <x:v>["data_analysis", "data_engineering"]</x:v>
      </x:c>
      <x:c r="K129" s="7" t="str">
        <x:v>["data_analysis"]</x:v>
      </x:c>
      <x:c r="L129" s="7" t="str">
        <x:v>["data_engineering"]</x:v>
      </x:c>
      <x:c r="M129" s="7" t="str">
        <x:v>["data_analysis", "data_engineering"]</x:v>
      </x:c>
      <x:c r="N129" s="7" t="str">
        <x:v>["data_analysis", "data_engineering"]</x:v>
      </x:c>
      <x:c r="O129" s="7" t="str">
        <x:v>["esco", "title", "description"]</x:v>
      </x:c>
      <x:c r="P129" s="7" t="str">
        <x:v>["customer_interaction"]</x:v>
      </x:c>
      <x:c r="Q129" s="8" t="str">
        <x:v>yes</x:v>
      </x:c>
      <x:c r="R129" s="8" t="str">
        <x:v>yes</x:v>
      </x:c>
      <x:c r="S129" s="8" t="str">
        <x:v>yes</x:v>
      </x:c>
      <x:c r="T129" s="7" t="str">
        <x:v>Reviewed against title, duties, mapped skills and detection sources.</x:v>
      </x:c>
    </x:row>
    <x:row r="130">
      <x:c r="A130" s="5" t="str">
        <x:v>data</x:v>
      </x:c>
      <x:c r="B130" s="5" t="str">
        <x:v>SOFTY_PE_V2_189070_LOC_4</x:v>
      </x:c>
      <x:c r="C130" s="7" t="str">
        <x:v>DATABASE ADMINISTRATOR - M/F</x:v>
      </x:c>
      <x:c r="D130" s="7" t="str">
        <x:v>Description: As part of the development of our activities, we are looking for a DATABASE ADMINISTRATOR (M/F) on a permanent basis. The position can be based in several of our agencies: Reims, Serris, Le Mans, Angers, Toulouse, Lyon and Grenoble. YOUR MISSION: Under the responsibility of the IT department, you audit, advise, and manage Oracle / sql server / postgresql / mariadb type databases for Hexanet and its clients. TO FULFILL YOUR MISSION, YOU: * Administer the Oracle / sql server / postgreql / mariadb environments; * Set up and patch Oracle / sql server / postgreql / mariadb environments; * Participate in the implementation of the monitoring solution for these different databases; * Maintain operational conditions in different environments; * Carry out audit days and write a report on an ad hoc basis for our clients in order to clearly define our scope of intervention; * Are proactive in the implementation and monitoring of the technical roadmap by using technological monitoring; * Participate in the on-call loop to offer an HNO service to HEXANET Customers; * Participate in Audits / diagnostics (remote and/or face-to-face; * Industrialize the MCO-DATA; * Participate in customer management days (remote and/or face-to-face) * Implement new working methodologies to ensure the operational deployment of projects in the most efficient way possible. Remuneration: Negotiable according to profile. Package: Profit-sharing, 10 days of RTT, vacation check. Profile sought: FOR THIS POSITION, WE ARE LOOKING FOR A PROFILE WITH: * Mandatory mastery of Oracle and would be mastery of SQL Server, postgreSQL and Maria DB * Knowledge of audit concepts and project management tools (MS Project type) * An understanding of the company's businesses, user needs and constraints * Good general IT knowledge: operating systems, security standards. So apply? WHY JOIN HEXANET? * A multi-client approach allowing you to work with a multitude of environments that combine different technologies * Partnerships with major players in new technologies: Microsoft, Fortinet, Mantra, Arrow, etc. * An evolution in skills through training and certifications. Joining Hexanet means joining a company where employee satisfaction is an integral part of its values. is really good to work (Great Place to Work 2023 Survey) And for that, we offer our employees internal mobility developments, certification training. We organize a team building event and team moments every year (barbecues, breakfasts, aperitifs, baby tournaments, etc.).</x:v>
      </x:c>
      <x:c r="E130" s="5" t="str">
        <x:v>47500.0</x:v>
      </x:c>
      <x:c r="F130" s="5" t="str">
        <x:v>8c57af09-719c-42b3-be40-6ed4946236cc</x:v>
      </x:c>
      <x:c r="G130" s="7" t="str">
        <x:v>["PostgreSQL"]</x:v>
      </x:c>
      <x:c r="H130" s="7" t="str">
        <x:v>["PostgreSQL"]</x:v>
      </x:c>
      <x:c r="I130" s="7" t="str">
        <x:v>[]</x:v>
      </x:c>
      <x:c r="J130" s="7" t="str">
        <x:v>["data_engineering"]</x:v>
      </x:c>
      <x:c r="K130" s="7" t="str">
        <x:v>["data_engineering"]</x:v>
      </x:c>
      <x:c r="L130" s="7" t="str">
        <x:v>["data_engineering"]</x:v>
      </x:c>
      <x:c r="M130" s="7" t="str">
        <x:v>["data_engineering"]</x:v>
      </x:c>
      <x:c r="N130" s="7" t="str">
        <x:v>["data_engineering"]</x:v>
      </x:c>
      <x:c r="O130" s="7" t="str">
        <x:v>["esco", "title", "description"]</x:v>
      </x:c>
      <x:c r="P130" s="7" t="str">
        <x:v>[]</x:v>
      </x:c>
      <x:c r="Q130" s="8" t="str">
        <x:v>yes</x:v>
      </x:c>
      <x:c r="R130" s="8" t="str">
        <x:v>yes</x:v>
      </x:c>
      <x:c r="S130" s="8" t="str">
        <x:v>yes</x:v>
      </x:c>
      <x:c r="T130" s="7" t="str">
        <x:v>Reviewed against title, duties, mapped skills and detection sources.</x:v>
      </x:c>
    </x:row>
    <x:row r="131">
      <x:c r="A131" s="5" t="str">
        <x:v>data</x:v>
      </x:c>
      <x:c r="B131" s="5" t="str">
        <x:v>AI1-01808</x:v>
      </x:c>
      <x:c r="C131" s="7" t="str">
        <x:v>IT and development engineer M/F</x:v>
      </x:c>
      <x:c r="D131" s="7" t="str">
        <x:v>Description: You don't see yourself in the ads offered to you? Are you looking for a position that matches your skills? The Piment Group stands out for its originality and expertise in order to bring a new perspective to the recruitment market. Our promises are availability, perseverance and responsiveness for both our clients and our candidates. Are you rigorous, methodical and autonomous? This position is made for you! Especially if you want to grow in a large company. We are looking for one of our partners, an IT and development engineer M/F You will be part of a team that develops and maintains applications to support the activity in the production of aircraft documentation. You will participate in defining, monitoring and improving the best solution for the activity, aiming to ensure the completion of projects, new features and very high improvements for the company in terms of production. Your main missions consist of: - defining solutions according to business needs, defining the schedule, review - identifying risk opportunities and the mitigation plan. Design a solution that works at scale, following standard IT architecture design patterns. - demonstrate leadership to align all stakeholders - ensure the operability, performance and robustness of the solution. Supervise technical and functional aspects within budgetary limits. - prioritize user stories during planning and manage associated risks - engage in technical discussions with new business stakeholders - create, modify and present technical reports - become focal point of the PSL team for the tool chain - monitor application incidents, manage all incident management reports Expected Profile: Holder of a Master's level degree in Computer Science (IT), you have at least 5 years of experience in IT business projects. Knowledge of DotNet, Java, Angular, Shell/Batching, Unix, TCL, Perl technologies would be a definite advantage. Proficiency in Oracle, MySQL, My SQL Server databases would be appreciated. Knowledge of design fields (Design, configured digital model) would be an asset. Project management skills, ideally in projects with a high level of uncertainty would be appreciated. An open-mindedness for collaborative working methods in a transnational business environment is desired. Good analytical skills, as well as interpersonal and communication skills would be an asset. Fluent English would be an advantage. Additional information: Team of 3 people / Pair work Typical day: - monitoring of the Run and incidents - management of documentary requests - contribution to improving the solution - balance between: operational activity / management / continuous improvement</x:v>
      </x:c>
      <x:c r="E131" s="5" t="str">
        <x:v>58200.0</x:v>
      </x:c>
      <x:c r="F131" s="5" t="str">
        <x:v>f2b15a0e-e65a-438a-affb-29b9d50b77d1</x:v>
      </x:c>
      <x:c r="G131" s="7" t="str">
        <x:v>["Angular", "Java (computer programming)", "SQL Server", "keep an open mind", "maintain technical equipment", "manage major incidents", "monitor developments in field of expertise", "perform project management", "recruit employees"]</x:v>
      </x:c>
      <x:c r="H131" s="7" t="str">
        <x:v>["Angular", "Java (computer programming)", "SQL Server"]</x:v>
      </x:c>
      <x:c r="I131" s="7" t="str">
        <x:v>[]</x:v>
      </x:c>
      <x:c r="J131" s="7" t="str">
        <x:v>["data_analysis", "data_engineering", "software"]</x:v>
      </x:c>
      <x:c r="K131" s="7" t="str">
        <x:v>[]</x:v>
      </x:c>
      <x:c r="L131" s="7" t="str">
        <x:v>["data_engineering", "software"]</x:v>
      </x:c>
      <x:c r="M131" s="7" t="str">
        <x:v>["data_analysis", "data_engineering", "software"]</x:v>
      </x:c>
      <x:c r="N131" s="7" t="str">
        <x:v>["data_engineering", "software"]</x:v>
      </x:c>
      <x:c r="O131" s="7" t="str">
        <x:v>["esco", "description"]</x:v>
      </x:c>
      <x:c r="P131" s="7" t="str">
        <x:v>[]</x:v>
      </x:c>
      <x:c r="Q131" s="8" t="str">
        <x:v>yes</x:v>
      </x:c>
      <x:c r="R131" s="8" t="str">
        <x:v>yes</x:v>
      </x:c>
      <x:c r="S131" s="8" t="str">
        <x:v>yes</x:v>
      </x:c>
      <x:c r="T131" s="7" t="str">
        <x:v>Reviewed against title, duties, mapped skills and detection sources.</x:v>
      </x:c>
    </x:row>
    <x:row r="132">
      <x:c r="A132" s="5" t="str">
        <x:v>data</x:v>
      </x:c>
      <x:c r="B132" s="5" t="str">
        <x:v>202TWZL</x:v>
      </x:c>
      <x:c r="C132" s="7" t="str">
        <x:v>Senior Full Stack Developer (H/F)</x:v>
      </x:c>
      <x:c r="D132" s="7" t="str">
        <x:v>What if you actively participated in the SaaS transformation of a recognized publisher, at the heart of a profession of excellence in French know-how? Our client is a solid family group, specialized in publishing business software solutions for more than 30 years, present in 4 niche markets and committed to a strong technological transformation strategy, driven by a transition to Next Gen. Their entity in Vannes is dedicated to the HBJO sector - Watchmaking, Jewelry, Jewelry, Goldsmithing, a demanding, regulated and exciting world, where technology must serve precision and reliability. The company operates in a market representing several thousand professional users and supports professions that embody the excellence of French know-how. As part of the strategic technological change, they wish to strengthen the R&amp;D team of 5 people with a senior full-stack developer profile to build the solution of tomorrow: more SaaS, more open, more collaborative and more modern. Your missions This position is key in the product and technical trajectory. You will work on structuring subjects, mixing Build &amp; Run, with a high level of autonomy and responsibilities. In close collaboration with the R&amp;D Manager and the technical team, you will be in charge of: - Design and develop robust, secure and scalable backend functionalities in Java / Spring Boot with PostgreSQL - Participate in the entire software life cycle: technical design, development, testing, production and maintenance - Guarantee code quality via: Unit and integration tests, Code review, Compliance with good development practices - Optimize application performance and data security - Contribute to the continuous improvement of practices and tools: Continuous integration and deployment (CI/CD), Monitoring, Industrialization of environments - Actively participate in technological monitoring and be a force for proposals on the evolution of the stack Your profile - Bac +5 type computer engineering school or equivalent - Minimum 7 years of experience in software development with a publisher of BtoB SaaS solutions or platform - Mastery of the Java/Springboot/Angular environment The advantages of the position - A strategic position at the heart of the transformation of a software publisher with stimulating technical challenges - A high level of autonomy and confidence, with real power of impact - A family business culture, stable, oriented towards quality, curiosity and professional excellence - A long-term product vision, driven by strong growth ambitions</x:v>
      </x:c>
      <x:c r="E132" s="5" t="str">
        <x:v>49000.0</x:v>
      </x:c>
      <x:c r="F132" s="5" t="str">
        <x:v>57af9090-55b4-4911-b2d0-86db01c00b02</x:v>
      </x:c>
      <x:c r="G132" s="7" t="str">
        <x:v>["create jewellery", "demonstrate curiosity", "execute integration testing", "identify market niches", "maintain database security", "use equipment, tools or technology with precision"]</x:v>
      </x:c>
      <x:c r="H132" s="7" t="str">
        <x:v>["maintain database security"]</x:v>
      </x:c>
      <x:c r="I132" s="7" t="str">
        <x:v>["demonstrate curiosity"]</x:v>
      </x:c>
      <x:c r="J132" s="7" t="str">
        <x:v>["data_engineering"]</x:v>
      </x:c>
      <x:c r="K132" s="7" t="str">
        <x:v>["software"]</x:v>
      </x:c>
      <x:c r="L132" s="7" t="str">
        <x:v>["data_engineering", "software", "cloud_devops"]</x:v>
      </x:c>
      <x:c r="M132" s="7" t="str">
        <x:v>["cloud_devops", "data_engineering", "software"]</x:v>
      </x:c>
      <x:c r="N132" s="7" t="str">
        <x:v>["data_engineering", "software"]</x:v>
      </x:c>
      <x:c r="O132" s="7" t="str">
        <x:v>["esco", "title", "description"]</x:v>
      </x:c>
      <x:c r="P132" s="7" t="str">
        <x:v>["creativity"]</x:v>
      </x:c>
      <x:c r="Q132" s="8" t="str">
        <x:v>yes</x:v>
      </x:c>
      <x:c r="R132" s="8" t="str">
        <x:v>yes</x:v>
      </x:c>
      <x:c r="S132" s="8" t="str">
        <x:v>yes</x:v>
      </x:c>
      <x:c r="T132" s="7" t="str">
        <x:v>Reviewed against title, duties, mapped skills and detection sources.</x:v>
      </x:c>
    </x:row>
    <x:row r="133">
      <x:c r="A133" s="5" t="str">
        <x:v>data</x:v>
      </x:c>
      <x:c r="B133" s="5" t="str">
        <x:v>203CZZB</x:v>
      </x:c>
      <x:c r="C133" s="7" t="str">
        <x:v>Tech Lead Java (H/F)</x:v>
      </x:c>
      <x:c r="D133" s="7" t="str">
        <x:v>You will join the Digital and General Resources Department, within a dynamic team based at the Arènes head office. Under the supervision of the IS project manager, you manage and coordinate projects. You ensure the planning, execution, and closing of projects, ensuring their successful completion while respecting deadlines, allocated budgets and quality standards. Your curiosity and appetite for AI will be major assets to support us in this evolution. Main missions: In terms of monitoring and management of information systems, you * Ensure the technical implementation of management software packages in partnership with software publishers/integrators; * Coordinate and develop internal software ensuring communication between the different software packages; * Analyze user needs and propose innovative tools, with a vision oriented towards the integration of AI. In terms of IT projects, you * Support users throughout the project and in identifying relevant Artificial Intelligence solutions; * Support the business project manager in the formalization of functional and technical specifications as well as in the drafting of specifications; * Support the project owner in proposing technical solutions in line with the need; * Supervise and coordinate development teams to ensure deadlines and objectives are met; * Participate in the development and implementation of the project environment; * Implement technical acceptance of projects; * Guarantee the respect and evolution of project methodologies; * Develop and maintain project documentation. Remuneration &amp; benefits: * Between €45K and €50K gross/year depending on profile and experience * Including 13th month + holiday bonus in the amount of €1,144.32 gross * Restaurant vouchers (face value €9.50, covered by the group at 60%) * Day package * Executive status * 27 days of paid leave * 15 days of RTT/year * Solidarity day and 2 bridges offered/year * Reimbursement of transport costs up to 50% * Reimbursement of travel on expense account * Teleworking after 5 months of seniority (overall annual envelope of 65 days per calendar year prorated according to the time of presence) * Seniority bonus after one year of presence * Interest depending on the results of the group Initial training at Bac+5 level, you have 5 years of experience in the field of activity as well as: * Solid technical skills in Java, SQL, Rest, and knowledge of IS architectures. * Strong appetite for AI as well as some experience around its integration (machine learning, automation, predictive analysis, etc.); * Ability to work in a team, listening skills and interpersonal skills; * Knowledge of ETL and databases (Postgres, Oracle).</x:v>
      </x:c>
      <x:c r="E133" s="5" t="str">
        <x:v>47500.0</x:v>
      </x:c>
      <x:c r="F133" s="5" t="str">
        <x:v>8b6388a4-4904-471b-9331-d3b1211f5525</x:v>
      </x:c>
      <x:c r="G133" s="7" t="str">
        <x:v>["PostgreSQL", "SQL", "automation technology", "customise project methodologies", "define technical requirements", "draft project documentation", "meet deadlines", "project configuration management"]</x:v>
      </x:c>
      <x:c r="H133" s="7" t="str">
        <x:v>["PostgreSQL", "SQL"]</x:v>
      </x:c>
      <x:c r="I133" s="7" t="str">
        <x:v>["meet deadlines"]</x:v>
      </x:c>
      <x:c r="J133" s="7" t="str">
        <x:v>["data_analysis", "data_engineering"]</x:v>
      </x:c>
      <x:c r="K133" s="7" t="str">
        <x:v>[]</x:v>
      </x:c>
      <x:c r="L133" s="7" t="str">
        <x:v>["ai_ml", "data_engineering", "software"]</x:v>
      </x:c>
      <x:c r="M133" s="7" t="str">
        <x:v>["ai_ml", "data_analysis", "data_engineering", "software"]</x:v>
      </x:c>
      <x:c r="N133" s="7" t="str">
        <x:v>["data_engineering"]</x:v>
      </x:c>
      <x:c r="O133" s="7" t="str">
        <x:v>["esco", "description"]</x:v>
      </x:c>
      <x:c r="P133" s="7" t="str">
        <x:v>["initiative_responsibility"]</x:v>
      </x:c>
      <x:c r="Q133" s="8" t="str">
        <x:v>yes</x:v>
      </x:c>
      <x:c r="R133" s="8" t="str">
        <x:v>no</x:v>
      </x:c>
      <x:c r="S133" s="8" t="str">
        <x:v>yes</x:v>
      </x:c>
      <x:c r="T133" s="7" t="str">
        <x:v>Η κύρια κατηγορία software λείπει από τη strict ταξινόμηση Tech Lead Java.</x:v>
      </x:c>
    </x:row>
    <x:row r="134">
      <x:c r="A134" s="5" t="str">
        <x:v>data</x:v>
      </x:c>
      <x:c r="B134" s="5" t="str">
        <x:v>axa0ski2e4</x:v>
      </x:c>
      <x:c r="C134" s="7" t="str">
        <x:v>PMO Engineer M/F</x:v>
      </x:c>
      <x:c r="D134" s="7" t="str">
        <x:v>RESPONSIBILITIES: Our SOM Ligeron agency mobilizes its experts in safety, risks, ergonomics, data science and systems engineering to support large, complex industrial projects. Integrated on our client's site, you will intervene in the development phase (between the Project Opening Decision and the Investment Decision) or in the implementation phase (between the Investment Decision and the Project Closure). Your role as a PMO Engineer M/F will be to carry out the following missions: • Plan and monitor project deadlines, costs and risks, • Manage resources, monitor MO expenses, changes (monitoring modifications to consistencies, planning, and costs of the project) and interfaces, • Establish reporting internally and/or for external stakeholders • Participate in the preparation of project reviews • Be responsible for defining the CBS in collaboration with the project team, the quality of cost control deliverables in compliance with the methods in force and, the maintenance of the information required for consolidation at the portfolio level. Why join us? • Remuneration over 12.5 months, participation bonus, profit-sharing bonus, packed lunch at €10.30, transport costs reimbursed up to 75%, CSE (cinema, holiday vouchers, gift cards, activities, etc.), • Integrate dynamic and caring teams: people at the center of our values, • Benefit from supervised and monitored integration, • Evolve in technical, project or managerial functions within SOM or the Ortec Group, internal training school (O'METIERS), recognition of our experts and our elite corps (Casques d'Or), • An HR policy, around a global solidarity approach: solidarity fund, social action, housing action, disability action, • Finding a professional/personal life balance: teleworking agreement, around 10 days of RTT/year. PROFILE WANTED: You hold a Bac+5 diploma from an engineering school, with a minimum of 2 years' initial experience in project management, ideally in an energy environment. You master project management methodologies and techniques (planning, cost management, deadlines, risks) and planning tools such as Planisware, MS Project, Excel and @Risk. You stand out for your rigor, autonomy and good interpersonal skills allowing you to work interface with many people. Applications meeting the requested criteria will be given priority. Recruitment process • An initial telephone exchange with Valentine, recruitment manager, to define your professional wishes and validate their suitability for the position offered, • A technical interview to clarify the challenges and outlines of the position, discover our premises as well as our teams, • Our process is simple and clear: you will be kept informed of each step. Want to join a company that is both demanding and deeply human? Dive into the heart of 40 years of expertise, ambitious projects and passion for our profession! #SOM #LI-VP1</x:v>
      </x:c>
      <x:c r="E134" s="5" t="str">
        <x:v>39500.0</x:v>
      </x:c>
      <x:c r="F134" s="5" t="str">
        <x:v>2a914d26-42aa-46b5-acf3-097d51ba4617</x:v>
      </x:c>
      <x:c r="G134" s="7" t="str">
        <x:v>["cost management", "data science", "ergonomics", "interfacing techniques", "make investment decisions", "manage resources", "meet deadlines", "patient autonomy", "project management methodology (PM²)", "recruit employees", "solve technical problems"]</x:v>
      </x:c>
      <x:c r="H134" s="7" t="str">
        <x:v>["data science"]</x:v>
      </x:c>
      <x:c r="I134" s="7" t="str">
        <x:v>["meet deadlines", "solve technical problems"]</x:v>
      </x:c>
      <x:c r="J134" s="7" t="str">
        <x:v>["data_analysis"]</x:v>
      </x:c>
      <x:c r="K134" s="7" t="str">
        <x:v>[]</x:v>
      </x:c>
      <x:c r="L134" s="7" t="str">
        <x:v>["data_analysis"]</x:v>
      </x:c>
      <x:c r="M134" s="7" t="str">
        <x:v>["data_analysis"]</x:v>
      </x:c>
      <x:c r="N134" s="7" t="str">
        <x:v>["data_analysis"]</x:v>
      </x:c>
      <x:c r="O134" s="7" t="str">
        <x:v>["esco", "description"]</x:v>
      </x:c>
      <x:c r="P134" s="7" t="str">
        <x:v>["initiative_responsibility", "problem_solving"]</x:v>
      </x:c>
      <x:c r="Q134" s="8" t="str">
        <x:v>yes</x:v>
      </x:c>
      <x:c r="R134" s="8" t="str">
        <x:v>yes</x:v>
      </x:c>
      <x:c r="S134" s="8" t="str">
        <x:v>yes</x:v>
      </x:c>
      <x:c r="T134" s="7" t="str">
        <x:v>Reviewed against title, duties, mapped skills and detection sources.</x:v>
      </x:c>
    </x:row>
    <x:row r="135">
      <x:c r="A135" s="5" t="str">
        <x:v>data</x:v>
      </x:c>
      <x:c r="B135" s="5" t="str">
        <x:v>0000684</x:v>
      </x:c>
      <x:c r="C135" s="7" t="str">
        <x:v>Senior Consultant in Data Analytics (H/F)</x:v>
      </x:c>
      <x:c r="D135" s="7" t="str">
        <x:v>Description: Our client, a major player in digital transformation in Reunion, is looking for a Senior Data Consultant to strengthen its teams. This strategic position will allow you to manage ambitious data projects for their client, while working closely with the business lines. Your main missions - Automate and optimize reporting tools (usage, fleet, invoicing, etc.). - Ensure the quality and reliability of data, from extraction to visualization. - Translate business needs into concrete data solutions. - Design impactful dashboards (Power BI, Qlik). - Manage projects using Agile methodology (monthly sprints). - Ensure the transfer of skills within the team. Requirements: Technical skills sought - Mastery of SQL and S3, HDFS, GCP environments. - Experience in star modeling and data visualization. - Knowledge of GitLab (versioning) and JIRA (project management). - Familiarity with Starburst and DBT for documenting business rules.</x:v>
      </x:c>
      <x:c r="E135" s="5" t="str">
        <x:v>45000.0</x:v>
      </x:c>
      <x:c r="F135" s="5" t="str">
        <x:v>258e46f9-0075-4a2e-adae-1ff0477e0f30</x:v>
      </x:c>
      <x:c r="G135" s="7" t="str">
        <x:v>["Agile project management", "assess reliability of data", "deliver visual presentation of data", "develop documentation in accordance with legal requirements", "issue sales invoices"]</x:v>
      </x:c>
      <x:c r="H135" s="7" t="str">
        <x:v>[]</x:v>
      </x:c>
      <x:c r="I135" s="7" t="str">
        <x:v>[]</x:v>
      </x:c>
      <x:c r="J135" s="7" t="str">
        <x:v>[]</x:v>
      </x:c>
      <x:c r="K135" s="7" t="str">
        <x:v>["data_analysis"]</x:v>
      </x:c>
      <x:c r="L135" s="7" t="str">
        <x:v>["data_analysis", "cloud_devops"]</x:v>
      </x:c>
      <x:c r="M135" s="7" t="str">
        <x:v>["cloud_devops", "data_analysis"]</x:v>
      </x:c>
      <x:c r="N135" s="7" t="str">
        <x:v>["data_analysis"]</x:v>
      </x:c>
      <x:c r="O135" s="7" t="str">
        <x:v>["title", "description"]</x:v>
      </x:c>
      <x:c r="P135" s="7" t="str">
        <x:v>[]</x:v>
      </x:c>
      <x:c r="Q135" s="8" t="str">
        <x:v>yes</x:v>
      </x:c>
      <x:c r="R135" s="8" t="str">
        <x:v>yes</x:v>
      </x:c>
      <x:c r="S135" s="8" t="str">
        <x:v>yes</x:v>
      </x:c>
      <x:c r="T135" s="7" t="str">
        <x:v>Reviewed against title, duties, mapped skills and detection sources.</x:v>
      </x:c>
    </x:row>
    <x:row r="136">
      <x:c r="A136" s="5" t="str">
        <x:v>data</x:v>
      </x:c>
      <x:c r="B136" s="5" t="str">
        <x:v>49634123</x:v>
      </x:c>
      <x:c r="C136" s="7" t="str">
        <x:v>Data manager (H/F)</x:v>
      </x:c>
      <x:c r="D136" s="7" t="str">
        <x:v>Job description: As an organizer of recruitment forums, Talents Handicap supports a large number of companies &amp; organizations in France in their recruitment of employees with disabilities. Currently participating in one of our forums. The company FNAC DARTY PARTICIPATIONS ET SERVICES is currently looking for profiles: Description of the Mission: Analysis and Design Participate in the analysis of the need with the supervision of the PO/TechLead pair and in the design of the data model to respond to the challenges. Use data analysis to provide meaningful insights and inform project design/implementation. Be a source of suggestions for improving our Data stack. Development and Integration Design, develop and maintain data pipelines for the acquisition, transformation, storage and provision of data. Optimize development performance to ensure maximum availability and reliability. Identify and resolve bottlenecks and performance issues in data flows. Quality, Maintenance and Supervision Implement processes and controls to ensure data quality. Design and implement effective alert, monitoring and automatic recovery systems. Ensure corrective or progressive maintenance. Ensure the consistency of deliverables with the rules and best practices defined within the team. Documentation, Support, Management Write the documents associated with the project (Technical Specifications, Technical Specifications, Operations Document). Produce the technical recipe and participate in animating the functional recipe with the users and the PO. Prepare work progress reporting. Support deployment. Technical Environment: Languages/Framework: SQL, BigQuery, Python, Shell. Tools: GCP (BigQuery, DataForm, PubSub, Dataflow, Cloud Composer, Cloud Run, Compute Engine), Gitlab, Terraform, Talend. Database: BigQuery, Teradata, SQL Server, IBM DB2. Your future benefits if you join us: 6 weeks of paid leave 11 days of RTT Special leave: 100% paternity, sick children (10 days/year) 1 day of TT/week + 1 flying day/month (presence depending on direction) schemes dedicated to seniors, family caregivers and people with disabilities Holiday bonus: €908.82 (2025) Profit-sharing &amp; participation Employee savings: PEG open to all, PERO for executives and non-executives CSE benefits / Holiday vouchers according to family quotient, Christmas vouchers, access to ticketing, travel, Fnac/Darty reductions (up to €3,000/year), sporting activities... Restaurant tickets: €10.50 (60% coverage) + company restaurant Navigo subscription: reimbursement up to 5/7th Mutual insurance, provident insurance: reinforced protection for you and your family</x:v>
      </x:c>
      <x:c r="E136" s="5" t="str">
        <x:v>36000.0</x:v>
      </x:c>
      <x:c r="F136" s="5" t="str">
        <x:v>e297ec12-4712-40a4-ad98-ba004cacb205</x:v>
      </x:c>
      <x:c r="G136" s="7" t="str">
        <x:v>["DB2", "Python (computer programming)", "SQL Server", "Teradata Database", "analyse test data", "create new recipes", "create project specifications", "data quality assessment", "interpret electronic design specifications", "manage maintenance operations", "provide user documentation", "supervision of persons"]</x:v>
      </x:c>
      <x:c r="H136" s="7" t="str">
        <x:v>["Python (computer programming)", "SQL Server", "Teradata Database"]</x:v>
      </x:c>
      <x:c r="I136" s="7" t="str">
        <x:v>[]</x:v>
      </x:c>
      <x:c r="J136" s="7" t="str">
        <x:v>["data_analysis", "data_engineering"]</x:v>
      </x:c>
      <x:c r="K136" s="7" t="str">
        <x:v>[]</x:v>
      </x:c>
      <x:c r="L136" s="7" t="str">
        <x:v>["data_analysis", "data_engineering", "cloud_devops"]</x:v>
      </x:c>
      <x:c r="M136" s="7" t="str">
        <x:v>["cloud_devops", "data_analysis", "data_engineering"]</x:v>
      </x:c>
      <x:c r="N136" s="7" t="str">
        <x:v>["data_analysis", "data_engineering"]</x:v>
      </x:c>
      <x:c r="O136" s="7" t="str">
        <x:v>["esco", "description"]</x:v>
      </x:c>
      <x:c r="P136" s="7" t="str">
        <x:v>[]</x:v>
      </x:c>
      <x:c r="Q136" s="8" t="str">
        <x:v>yes</x:v>
      </x:c>
      <x:c r="R136" s="8" t="str">
        <x:v>yes</x:v>
      </x:c>
      <x:c r="S136" s="8" t="str">
        <x:v>yes</x:v>
      </x:c>
      <x:c r="T136" s="7" t="str">
        <x:v>Reviewed against title, duties, mapped skills and detection sources.</x:v>
      </x:c>
    </x:row>
    <x:row r="137">
      <x:c r="A137" s="5" t="str">
        <x:v>data</x:v>
      </x:c>
      <x:c r="B137" s="5" t="str">
        <x:v>202GDSX</x:v>
      </x:c>
      <x:c r="C137" s="7" t="str">
        <x:v>Experienced BI Development Engineer - M/F (M/F)</x:v>
      </x:c>
      <x:c r="D137" s="7" t="str">
        <x:v>Our client is a company specializing in the food industry. You will join the IT team in the midst of digital evolution. You are involved in the entire life cycle of IT projects: - Analyze the needs of internal users and understand their business challenges. - Optimize business software and decision-making tools through relevant developments - Integrate, interface and automate the different tools for maximum efficiency - Support users in the deployment and continuous improvement of solutions. - Participate in the maintenance of the systems in place. Job conditions: - Permanent contract - Fixed salary: Between 40k and 47k depending on profile - Continuing training - Mutual (60% covered by the company) + Restaurant voucher - A real HR and career support policy - An IT team on a human scale Profile sought Holder of a Bac+5, you have at least 4 years of professional experience in Business Intelligence development. Curious and versatile, you like working in a team. Your skills are based on solid foundations in: - Business software (such as ERP, EDM, CRM, HRIS, etc.) - EDI (Orders, Desadv, Invoic, Factur-X, AS2, etc.) - Databases (such as Oracle, MySQL, SQL Server, etc.) - Data integration and interfacing (such as ETL, API, etc.) - Business Intelligence (such as SSAS, SSRS, Power BI, etc.) - Development (such as Java, JavaScript, Python, PHP, etc.) On a daily basis, you like: - Listening, understanding and formalizing user needs. - Share and choose the best technical solution with the team. - Design, test and deploy reliable and efficient tools. - Continuously evolve systems, with a real sense of service.</x:v>
      </x:c>
      <x:c r="E137" s="5" t="str">
        <x:v>43500.0</x:v>
      </x:c>
      <x:c r="F137" s="5" t="str">
        <x:v>35553663-deab-4d9a-bf22-15c1625d28e8</x:v>
      </x:c>
      <x:c r="G137" s="7" t="str">
        <x:v>["Java (computer programming)", "PHP", "Python (computer programming)", "SQL Server", "business intelligence", "database", "decision support systems", "identify digital competence gaps"]</x:v>
      </x:c>
      <x:c r="H137" s="7" t="str">
        <x:v>["Java (computer programming)", "PHP", "Python (computer programming)", "SQL Server", "business intelligence", "database"]</x:v>
      </x:c>
      <x:c r="I137" s="7" t="str">
        <x:v>[]</x:v>
      </x:c>
      <x:c r="J137" s="7" t="str">
        <x:v>["data_analysis", "data_engineering", "software"]</x:v>
      </x:c>
      <x:c r="K137" s="7" t="str">
        <x:v>[]</x:v>
      </x:c>
      <x:c r="L137" s="7" t="str">
        <x:v>["data_analysis", "data_engineering", "software"]</x:v>
      </x:c>
      <x:c r="M137" s="7" t="str">
        <x:v>["data_analysis", "data_engineering", "software"]</x:v>
      </x:c>
      <x:c r="N137" s="7" t="str">
        <x:v>["data_analysis", "data_engineering", "software"]</x:v>
      </x:c>
      <x:c r="O137" s="7" t="str">
        <x:v>["esco", "description"]</x:v>
      </x:c>
      <x:c r="P137" s="7" t="str">
        <x:v>[]</x:v>
      </x:c>
      <x:c r="Q137" s="8" t="str">
        <x:v>yes</x:v>
      </x:c>
      <x:c r="R137" s="8" t="str">
        <x:v>yes</x:v>
      </x:c>
      <x:c r="S137" s="8" t="str">
        <x:v>yes</x:v>
      </x:c>
      <x:c r="T137" s="7" t="str">
        <x:v>Reviewed against title, duties, mapped skills and detection sources.</x:v>
      </x:c>
    </x:row>
    <x:row r="138">
      <x:c r="A138" s="5" t="str">
        <x:v>data</x:v>
      </x:c>
      <x:c r="B138" s="5" t="str">
        <x:v>tnuk8bqfp0</x:v>
      </x:c>
      <x:c r="C138" s="7" t="str">
        <x:v>PMO Engineer M/F</x:v>
      </x:c>
      <x:c r="D138" s="7" t="str">
        <x:v>RESPONSIBILITIES: Our SOM Ligeron agency mobilizes its experts in safety, risks, ergonomics, data science and systems engineering to support large, complex industrial projects. Integrated on our client's site, you will intervene in the development phase (between the Project Opening Decision and the Investment Decision) or in the implementation phase (between the Investment Decision and the Project Closure). The main objective is to assist the Project Manager in the day-to-day management of the project (financial commitments, planning, risks, consistency, etc.) Your role as a PMO Engineer M/F will be to carry out the following missions: • Plan and monitor project deadlines • Control costs, • Manage risks, • Manage resources and monitor MO expenses, • Manage changes (monitoring modifications to consistencies, planning, and project costs) and interfaces, • Carry out reporting internally or to external stakeholders • Prepare project reviews During the first phase of taking charge of the project, you are expected to implement all the usual project management routines. You will be proactive and able to take a critical look at the project. Why join us? • Remuneration over 12.5 months, participation bonus, profit-sharing bonus, packed lunch at €10.30, transport costs reimbursed up to 75%, CSE (cinema, holiday vouchers, gift cards, activities, etc.), • Integrate dynamic and caring teams: people at the center of our values, • Benefit from supervised and monitored integration, • Evolve in technical, project or managerial functions within SOM or the Ortec Group, internal training school (O'METIERS), recognition of our experts and our elite corps (Casques d'Or), • An HR policy, around a global solidarity approach: solidarity fund, social action, housing action, disability action, • Finding a professional/personal life balance: teleworking agreement, around 10 days of RTT/year. PROFILE WANTED: You hold a Bac+5 diploma from an engineering school, with a minimum of 3 years' initial experience in project management, ideally in an energy environment. You master project management methodologies and techniques (planning, management of costs, deadlines, risks). You stand out for your rigor, autonomy and good interpersonal skills allowing you to work interface with many people. Applications meeting the requested criteria will be given priority. Recruitment process • An initial telephone exchange with Valentine, recruitment manager, to define your professional wishes and validate their suitability for the position offered, • A technical interview to clarify the challenges and outlines of the position, discover our premises as well as our teams, • Our process is simple and clear: you will be kept informed of each step. Want to join a company that is both demanding and deeply human? Dive into the heart of 40 years of expertise, ambitious projects and passion for our profession! #SOM #LI-VP1</x:v>
      </x:c>
      <x:c r="E138" s="5" t="str">
        <x:v>46500.0</x:v>
      </x:c>
      <x:c r="F138" s="5" t="str">
        <x:v>bea99fea-0383-4c63-b944-70d4799de2c5</x:v>
      </x:c>
      <x:c r="G138" s="7" t="str">
        <x:v>["cost management", "data science", "ergonomics", "interfacing techniques", "internal risk management policy", "make investment decisions", "manage resources", "meet deadlines", "patient autonomy", "project configuration management", "project management", "project management methodology (PM²)", "recruit employees", "solve technical problems"]</x:v>
      </x:c>
      <x:c r="H138" s="7" t="str">
        <x:v>["data science"]</x:v>
      </x:c>
      <x:c r="I138" s="7" t="str">
        <x:v>["meet deadlines", "solve technical problems"]</x:v>
      </x:c>
      <x:c r="J138" s="7" t="str">
        <x:v>["data_analysis"]</x:v>
      </x:c>
      <x:c r="K138" s="7" t="str">
        <x:v>[]</x:v>
      </x:c>
      <x:c r="L138" s="7" t="str">
        <x:v>["data_analysis"]</x:v>
      </x:c>
      <x:c r="M138" s="7" t="str">
        <x:v>["data_analysis"]</x:v>
      </x:c>
      <x:c r="N138" s="7" t="str">
        <x:v>["data_analysis"]</x:v>
      </x:c>
      <x:c r="O138" s="7" t="str">
        <x:v>["esco", "description"]</x:v>
      </x:c>
      <x:c r="P138" s="7" t="str">
        <x:v>["initiative_responsibility", "problem_solving"]</x:v>
      </x:c>
      <x:c r="Q138" s="8" t="str">
        <x:v>yes</x:v>
      </x:c>
      <x:c r="R138" s="8" t="str">
        <x:v>yes</x:v>
      </x:c>
      <x:c r="S138" s="8" t="str">
        <x:v>yes</x:v>
      </x:c>
      <x:c r="T138" s="7" t="str">
        <x:v>Reviewed against title, duties, mapped skills and detection sources.</x:v>
      </x:c>
    </x:row>
    <x:row r="139">
      <x:c r="A139" s="5" t="str">
        <x:v>data</x:v>
      </x:c>
      <x:c r="B139" s="5" t="str">
        <x:v>28424555</x:v>
      </x:c>
      <x:c r="C139" s="7" t="str">
        <x:v>Sales Representative Employment Agency (M/F)</x:v>
      </x:c>
      <x:c r="D139" s="7" t="str">
        <x:v>A true driving force behind the agency's commercial development, you are at the heart of the action and decisions. Your missions: Develop the agency's turnover over part of 27/76. Actively prospect new BtoB clients (field &amp; phoning). Build loyalty and monitor an existing customer portfolio. Identify business needs and offer tailor-made HR solutions (temporary/cdd/permanent/time-sharing). Carry out regulatory reminders (invoice reminders, business intelligence). Participate in the recruitment of temporary workers alongside the agency team. Represent Alternativ'Emploi at job fairs/local events, business clubs. Your profile: Commercial temperament, taste for challenge and prospecting. Relational ease and sense of customer service. Organization, autonomy and team spirit. Experience in temporary work or B to B is a plus (but not obligatory if you are motivated). What we offer you: Permanent contract Attractive remuneration: salary to be agreed according to profile + margin commissions and end-of-year bonuses based on objectives. 5-seater company car, laptop, mobile phone. Mutual company and CE. 12 RTT per year. A dynamic, human environment close to the field.</x:v>
      </x:c>
      <x:c r="E139" s="5" t="str">
        <x:v>27500.0</x:v>
      </x:c>
      <x:c r="F139" s="5" t="str">
        <x:v>d2d451cc-e839-4192-be54-d7724814aa03</x:v>
      </x:c>
      <x:c r="G139" s="7" t="str">
        <x:v>["business intelligence", "business requirements techniques", "make decisions", "patient autonomy", "prospect new customers"]</x:v>
      </x:c>
      <x:c r="H139" s="7" t="str">
        <x:v>["business intelligence"]</x:v>
      </x:c>
      <x:c r="I139" s="7" t="str">
        <x:v>["make decisions"]</x:v>
      </x:c>
      <x:c r="J139" s="7" t="str">
        <x:v>["data_analysis"]</x:v>
      </x:c>
      <x:c r="K139" s="7" t="str">
        <x:v>[]</x:v>
      </x:c>
      <x:c r="L139" s="7" t="str">
        <x:v>["data_analysis"]</x:v>
      </x:c>
      <x:c r="M139" s="7" t="str">
        <x:v>["data_analysis"]</x:v>
      </x:c>
      <x:c r="N139" s="7" t="str">
        <x:v>["data_analysis"]</x:v>
      </x:c>
      <x:c r="O139" s="7" t="str">
        <x:v>["esco", "description"]</x:v>
      </x:c>
      <x:c r="P139" s="7" t="str">
        <x:v>["problem_solving"]</x:v>
      </x:c>
      <x:c r="Q139" s="8" t="str">
        <x:v>no</x:v>
      </x:c>
      <x:c r="R139" s="8" t="str">
        <x:v>no</x:v>
      </x:c>
      <x:c r="S139" s="8" t="str">
        <x:v>yes</x:v>
      </x:c>
      <x:c r="T139" s="7" t="str">
        <x:v>False positive: εμπορική θέση σε employment agency· το business intelligence σημαίνει πληροφόρηση αγοράς, όχι data analytics.</x:v>
      </x:c>
    </x:row>
    <x:row r="140">
      <x:c r="A140" s="5" t="str">
        <x:v>data</x:v>
      </x:c>
      <x:c r="B140" s="5" t="str">
        <x:v>001830</x:v>
      </x:c>
      <x:c r="C140" s="7" t="str">
        <x:v>Engineer DevOps / Cloud Senior - Agency Tech - H/F</x:v>
      </x:c>
      <x:c r="D140" s="7" t="str">
        <x:v>The company supported and the missions: The company supported in its permanent recruitment We are recruiting for a major player in digital transformation: 600 experts in 7 countries who design tech solutions for large accounts (CANAL+ player, Renault 3D configurator, patented AI systems). Their tech DNA Full-stack approach: cloud, data engineering, distributed architecture, AI, product design. Real craft on a daily basis: redesign of cloud-native infrastructure, advanced CI/CD pipelines, optimization of critical systems, intelligent automation. Their culture Strong engineering, encouraged monitoring, assumed autonomy. They value those who challenge and build. Innovation is a practice, not a buzzword. The position For a strategic digital content distribution project, they are looking — via Externatic, a specialized IT firm outside ESN — for a Senior Cloud / DevOps Engineer on a permanent contract. Missions / roles You join a team of 5 people in charge of the infrastructure of an advertising targeting application integrated into a media platform with a large audience. You are the Cloud/DevOps referent for the scope. Your responsibilities: - Design and maintain the AWS infrastructure (Kubernetes/EKS workload) - Automate deployments and management of environments (Terraform, Helm, GitLab CI) - Ensure the reliability and supervision of application environments - Contribute to the FinOps approach and cloud cost optimization - Manage observability (Prometheus, Datadog, Keda) - Interact with a third-party publisher for the integration of a retargeting solution - Participate in cross-functional topics (cloud, CDN) - Document and disseminate best practices Context: Hybrid: 2 days/week at the client (Puteaux) + 1 day at the agency (Pantin) Team: 5 people (PO, dev, DevOps CDN, team lead) Profile: You have significant experience (around 5 years or more) in modern Cloud &amp; DevOps environments and you wish to take a central role on a high-traffic platform. Expected technical skills (or equivalent): Public Cloud: mastery of AWS appreciated; possible opening to profiles with expertise in other Clouds Containerization &amp; orchestration: very good maturity on Kubernetes / EKS. IaC &amp; automation: Terraform, Helm, GitLab CI pipelines. Database: notions of MongoDB. Observability &amp; monitoring: Prometheus, Datadog, Keda. Soft skills sought: Ease of communication (regular interaction with customer teams). Organization &amp; rigor, particularly in documentation. Strong curiosity and appetite for technological monitoring (essential value for the company). English appreciated for exchanges with international teams. Advantages: Working conditions and benefits Integrate an innovation-oriented environment, exposed to complex and high-volume cloud issues. Opportunity to evolve on cross-functional subjects and to have a referent role in the team. Hybrid teleworking 2 days/week and organization of time offering a good work/personal life balance. Attractive remuneration: 52-60K - Various benefits (mutual insurance, internal bonuses, participation schemes, CSE, etc.). Premises easily accessible by transport (Pantin &amp; Puteaux). Access to internal communities, continuing training and a highly developed technical culture. Recruitment process First telephone exchange with Hadrien, Externatic consultant. Technical interview with the Cloud / Devops expert on the project currently Interview with the Cloud CTO. HR interview Ready to apply? Don't wait to join a strategic cloud project in the heart of a modern and stimulating environment. By applying through Externatic, you also access other hidden market opportunities in end companies looking for DevOps/Cloud profiles.</x:v>
      </x:c>
      <x:c r="E140" s="5" t="str">
        <x:v>56000.0</x:v>
      </x:c>
      <x:c r="F140" s="5" t="str">
        <x:v>f2b15a0e-e65a-438a-affb-29b9d50b77d1</x:v>
      </x:c>
      <x:c r="G140" s="7" t="str">
        <x:v>["data engineering", "develop product design", "distributed computing", "patient autonomy", "provide user documentation", "seek innovation in current practices"]</x:v>
      </x:c>
      <x:c r="H140" s="7" t="str">
        <x:v>["data engineering"]</x:v>
      </x:c>
      <x:c r="I140" s="7" t="str">
        <x:v>[]</x:v>
      </x:c>
      <x:c r="J140" s="7" t="str">
        <x:v>["data_engineering"]</x:v>
      </x:c>
      <x:c r="K140" s="7" t="str">
        <x:v>["cloud_devops"]</x:v>
      </x:c>
      <x:c r="L140" s="7" t="str">
        <x:v>["data_engineering", "cloud_devops"]</x:v>
      </x:c>
      <x:c r="M140" s="7" t="str">
        <x:v>["cloud_devops", "data_engineering"]</x:v>
      </x:c>
      <x:c r="N140" s="7" t="str">
        <x:v>["data_engineering", "cloud_devops"]</x:v>
      </x:c>
      <x:c r="O140" s="7" t="str">
        <x:v>["esco", "title", "description"]</x:v>
      </x:c>
      <x:c r="P140" s="7" t="str">
        <x:v>[]</x:v>
      </x:c>
      <x:c r="Q140" s="8" t="str">
        <x:v>yes</x:v>
      </x:c>
      <x:c r="R140" s="8" t="str">
        <x:v>yes</x:v>
      </x:c>
      <x:c r="S140" s="8" t="str">
        <x:v>yes</x:v>
      </x:c>
      <x:c r="T140" s="7" t="str">
        <x:v>Reviewed against title, duties, mapped skills and detection sources.</x:v>
      </x:c>
    </x:row>
    <x:row r="141">
      <x:c r="A141" s="5" t="str">
        <x:v>data</x:v>
      </x:c>
      <x:c r="B141" s="5" t="str">
        <x:v>AZ015193</x:v>
      </x:c>
      <x:c r="C141" s="7" t="str">
        <x:v>SELECTOR/SE MELON HF / MELON BREEDER HF F/M</x:v>
      </x:c>
      <x:c r="D141" s="7" t="str">
        <x:v>The fourth largest seed company in the world, Limagrain is an international cooperative group created and managed by French farmers. Creator and producer of plant varieties, Limagrain markets field seeds, vegetable seeds and cereal products. HM.Clause, Business Unit of the Limagrain Group, is an innovative world leader in the development, production and marketing of vegetable seeds. HM.Clause is one of the top five vegetable seed companies in the world. With more than 2000 varieties in more than 20 vegetable crops, HM.Clause provides innovative solutions to growers around the world. PURPOSE: Within the research center based in Saint-Rémy-De-Provence, focused on varietal creation, you contribute to the development of our varietal range, by integrating our international selection team for the Melon programs. You collaborate with teams from different worlds, at the level of our Business Unit (BU) HM.CLAUSE and the Limagrain Group. YOUR MISSIONS: Reporting to the Crop Breeding Director, you: · Develop a selection strategy by following the company's R&amp;D objectives o Ensure the implementation of the program, by collaborating with the different teams of the BU o Optimally use the testing network and the resources (human, financial, material, etc.) made available, o Develop the germplasm and parental lines by integrating innovative traits, o Develop new hybrids corresponding to market needs, · Guarantee the supply of homogeneous and stable pre-basic seeds, · Optimize the selection program through the use of modern technologies and data analysis tools, · Maintain your knowledge of the products and the market, through technological monitoring and through regular interactions with the Marketing, Development and Sales departments, · Participate in various transversal projects with the research teams at the BU level and those of the Limagrain Group, · Manage a small team and work closely with other breeders in our international team · You travel to strategic markets to evaluate/select trials in France and abroad (~25/30%) Holder of a Bac+5 in plant improvement, you have at least 5 years of experience in a similar position, particularly in the management of breeding programs. Attracted by new selection technologies as well as field work, you are results-oriented. Your analytical and project management skills, as well as your scientific and commercial curiosity, will allow you to carry out your missions and be a force for proposals in terms of innovation. Finally, you are recognized as a good “team player” &amp; enjoy interacting in an international environment. Fluency in English (or French if English speaking) is necessary and an intermediate level of Spanish would be a plus. A first experience in team management is appreciated.</x:v>
      </x:c>
      <x:c r="E141" s="5" t="str">
        <x:v>54500.0</x:v>
      </x:c>
      <x:c r="F141" s="5" t="str">
        <x:v>c40ef517-d4ab-4932-b184-9c2ea5b24fe2</x:v>
      </x:c>
      <x:c r="G141" s="7" t="str">
        <x:v>["animal breeding programmes", "data visualisation software", "demonstrate curiosity", "manage a team", "perform project management", "write research proposals"]</x:v>
      </x:c>
      <x:c r="H141" s="7" t="str">
        <x:v>["data visualisation software"]</x:v>
      </x:c>
      <x:c r="I141" s="7" t="str">
        <x:v>["demonstrate curiosity", "manage a team"]</x:v>
      </x:c>
      <x:c r="J141" s="7" t="str">
        <x:v>["data_analysis"]</x:v>
      </x:c>
      <x:c r="K141" s="7" t="str">
        <x:v>[]</x:v>
      </x:c>
      <x:c r="L141" s="7" t="str">
        <x:v>["data_analysis"]</x:v>
      </x:c>
      <x:c r="M141" s="7" t="str">
        <x:v>["data_analysis"]</x:v>
      </x:c>
      <x:c r="N141" s="7" t="str">
        <x:v>["data_analysis"]</x:v>
      </x:c>
      <x:c r="O141" s="7" t="str">
        <x:v>["esco", "description"]</x:v>
      </x:c>
      <x:c r="P141" s="7" t="str">
        <x:v>["creativity", "leadership"]</x:v>
      </x:c>
      <x:c r="Q141" s="8" t="str">
        <x:v>yes</x:v>
      </x:c>
      <x:c r="R141" s="8" t="str">
        <x:v>yes</x:v>
      </x:c>
      <x:c r="S141" s="8" t="str">
        <x:v>yes</x:v>
      </x:c>
      <x:c r="T141" s="7" t="str">
        <x:v>Reviewed against title, duties, mapped skills and detection sources.</x:v>
      </x:c>
    </x:row>
    <x:row r="142">
      <x:c r="A142" s="5" t="str">
        <x:v>data</x:v>
      </x:c>
      <x:c r="B142" s="5" t="str">
        <x:v>e2ywk074js</x:v>
      </x:c>
      <x:c r="C142" s="7" t="str">
        <x:v>Manager Devops (H/F)</x:v>
      </x:c>
      <x:c r="D142" s="7" t="str">
        <x:v>RESPONSIBILITIES: The Bobbee Devops Manager will be responsible for managing and leading the Bobbee platform team whose main mission will be to provide and maintain tools, services and infrastructure facilitating the work of the development teams on the Bobbee product. The platform team, made up of around ten employees, will ensure the implementation of DevOps best practices, process automation, securing cloud environments and optimizing performance. The platform manager will play a key role in supporting development teams by facilitating the adoption of AWS best practices and guaranteeing the efficiency and reliability of infrastructures. Missions: Management of the platform team: • Supervise and lead the platform team to optimize collaboration with the development teams. • Define and manage the platform strategy in line with the company's objectives. Optimization of the internal platform: • Design, maintain and improve the platform to guarantee performance, scalability and security. • Automate infrastructure deployment and management processes. Collaboration and technology monitoring: • Work closely with technical teams to improve the developer experience. • Carry out active technological monitoring to anticipate developments and propose continuous improvements. Support and skills development for development teams: • Develop and implement training and support on AWS. • Ensure the dissemination of DevOps and Cloud best practices to teams. PROFILE WANTED: • Cloud and AWS expertise (services, architectures, security, automation). • Mastery of DevOps and SRE principles. • Mastery of automation tools (Terraform, Cloudformation, CDK, etc.). • Good understanding of microservices, microfrontend and containerization architectures (Docker, Kubernetes). • Experience in SQL and NoSQL databases: MySQL, PostgreSQL, DynamoDB, MongoDB • Ability to supervise and unite a team. • Pedagogy and ability to transmit knowledge. • Collaborative spirit and solution-oriented approach. • Strong appetite for innovation and continuous improvement. With at least 10 years of experience with a minimum of 5 years of Cloud / Devops / SRE experience, you also have significant experience as a Technical Manager, Lead Devops or similar role. AWS certifications preferred. Position based in Beauvais or Paris to be filled as soon as possible.</x:v>
      </x:c>
      <x:c r="E142" s="5" t="str">
        <x:v>65000.0</x:v>
      </x:c>
      <x:c r="F142" s="5" t="str">
        <x:v>615920c5-4f63-4eb3-8b60-afaaed3ab1ff</x:v>
      </x:c>
      <x:c r="G142" s="7" t="str">
        <x:v>["DevOps", "NoSQL", "PostgreSQL", "continuous improvement philosophies", "coordinate security", "implement a management system", "implement cloud security and compliance", "innovation processes", "integrate principles of training", "maintain inventory of tools", "pedagogy"]</x:v>
      </x:c>
      <x:c r="H142" s="7" t="str">
        <x:v>["DevOps", "NoSQL", "PostgreSQL"]</x:v>
      </x:c>
      <x:c r="I142" s="7" t="str">
        <x:v>["innovation processes"]</x:v>
      </x:c>
      <x:c r="J142" s="7" t="str">
        <x:v>["cloud_devops", "data_engineering"]</x:v>
      </x:c>
      <x:c r="K142" s="7" t="str">
        <x:v>["cloud_devops"]</x:v>
      </x:c>
      <x:c r="L142" s="7" t="str">
        <x:v>["data_engineering", "software", "cloud_devops"]</x:v>
      </x:c>
      <x:c r="M142" s="7" t="str">
        <x:v>["cloud_devops", "data_engineering", "software"]</x:v>
      </x:c>
      <x:c r="N142" s="7" t="str">
        <x:v>["data_engineering", "cloud_devops"]</x:v>
      </x:c>
      <x:c r="O142" s="7" t="str">
        <x:v>["esco", "title", "description"]</x:v>
      </x:c>
      <x:c r="P142" s="7" t="str">
        <x:v>["creativity"]</x:v>
      </x:c>
      <x:c r="Q142" s="8" t="str">
        <x:v>yes</x:v>
      </x:c>
      <x:c r="R142" s="8" t="str">
        <x:v>yes</x:v>
      </x:c>
      <x:c r="S142" s="8" t="str">
        <x:v>yes</x:v>
      </x:c>
      <x:c r="T142" s="7" t="str">
        <x:v>Reviewed against title, duties, mapped skills and detection sources.</x:v>
      </x:c>
    </x:row>
    <x:row r="143">
      <x:c r="A143" s="5" t="str">
        <x:v>data</x:v>
      </x:c>
      <x:c r="B143" s="5" t="str">
        <x:v>wk9p9cuvcr</x:v>
      </x:c>
      <x:c r="C143" s="7" t="str">
        <x:v>Consultant DATA Fabric H/F</x:v>
      </x:c>
      <x:c r="D143" s="7" t="str">
        <x:v>RESPONSIBILITIES: As part of Sébastien's team which manages the Data activity at Expertime (30 people), as a data consultant specializing in Power BI / Microsoft Fabric, you will work on projects that respond to customer data exploitation challenges. Your missions will be as follows: • Manage projects independently • Analyze and qualify the needs and “business” issues of our clients • Participate in the definition and implementation of Data solutions adapted to the project contexts • Collaborate with business teams in their data identification and documentation work • Collaborate with Consultants and Engineers specializing in data on projects and work on the quality of their achievements and deliverables • Collaborate in all areas data activity: BI and Analytics, Big Data, Data Science and AI • Collaborate cross-functionally with other expertise (UX/UI, software and technical architects, cloud and DevOps experts) in order to design and deliver the most suitable and efficient solutions • Work in an agile context and bring innovative approaches So if you find yourself in this description, the terms Onelake, Dataflows, Shortcuts, Data Activator or even the Real-Time Hub are features that speak to you and you is interested, or if you want to switch from an OnPremise or PaaS Azure universe to this new work experience provided by Microsoft Fabric, this announcement is made for you. PROFILE WANTED: Truly passionate about DATA and a graduate of an engineering school, you have more than 5 years of experience in an IT environment, including a minimum of 3 to 4 years in a position in a DATA environment (Engineer, Architect or Consultant). • Expertise in Data Onpremise, Cloud architectures, SQL, an ETL tool (Azure Data Factory or others) and Data Visualization. • Mastery of security issues, Infrastructure and network in the Cloud • Database design, modeling and optimization • Knowledge of the Azure environment, MSBI, SQL Server or AI concepts (Python, R or Machine Learning) • Skills in IT project management</x:v>
      </x:c>
      <x:c r="E143" s="5" t="str">
        <x:v>52000.0</x:v>
      </x:c>
      <x:c r="F143" s="5" t="str">
        <x:v>35553663-deab-4d9a-bf22-15c1625d28e8</x:v>
      </x:c>
      <x:c r="G143" s="7" t="str">
        <x:v>["DevOps", "SQL", "SQL Server", "analyse big data", "authoring software", "consult with business clients", "create model", "data science", "deliver visual presentation of data", "design cloud architecture", "design database in the cloud", "think innovatively", "web analytics"]</x:v>
      </x:c>
      <x:c r="H143" s="7" t="str">
        <x:v>["DevOps", "SQL", "SQL Server", "data science", "design database in the cloud"]</x:v>
      </x:c>
      <x:c r="I143" s="7" t="str">
        <x:v>["consult with business clients"]</x:v>
      </x:c>
      <x:c r="J143" s="7" t="str">
        <x:v>["cloud_devops", "data_analysis", "data_engineering"]</x:v>
      </x:c>
      <x:c r="K143" s="7" t="str">
        <x:v>[]</x:v>
      </x:c>
      <x:c r="L143" s="7" t="str">
        <x:v>["ai_ml", "data_analysis", "data_engineering", "cloud_devops"]</x:v>
      </x:c>
      <x:c r="M143" s="7" t="str">
        <x:v>["ai_ml", "cloud_devops", "data_analysis", "data_engineering"]</x:v>
      </x:c>
      <x:c r="N143" s="7" t="str">
        <x:v>["data_analysis", "data_engineering", "cloud_devops"]</x:v>
      </x:c>
      <x:c r="O143" s="7" t="str">
        <x:v>["esco", "description"]</x:v>
      </x:c>
      <x:c r="P143" s="7" t="str">
        <x:v>["customer_interaction"]</x:v>
      </x:c>
      <x:c r="Q143" s="8" t="str">
        <x:v>yes</x:v>
      </x:c>
      <x:c r="R143" s="8" t="str">
        <x:v>yes</x:v>
      </x:c>
      <x:c r="S143" s="8" t="str">
        <x:v>yes</x:v>
      </x:c>
      <x:c r="T143" s="7" t="str">
        <x:v>Reviewed against title, duties, mapped skills and detection sources.</x:v>
      </x:c>
    </x:row>
    <x:row r="144">
      <x:c r="A144" s="5" t="str">
        <x:v>data</x:v>
      </x:c>
      <x:c r="B144" s="5" t="str">
        <x:v>185b7232-c813-496b-9178-fd3348cf81c3</x:v>
      </x:c>
      <x:c r="C144" s="7" t="str">
        <x:v>Data Engineer F/H - Armor - Iimak</x:v>
      </x:c>
      <x:c r="D144" s="7" t="str">
        <x:v>Within the Group's Industrial IT team, your mission is to manage, design and maintain the industrial data systems of the French Industrial Center and its 15 international production subsidiaries operating 24/7. To this end, you are in charge of: - Build and manage the industrial data exploitation strategy - Prioritize user requests and deal with incidents - Maintain and evolve the On Premise and Cloud architectures necessary for the proper functioning of our factories and the valorization of data in real time, - Manage and organize industrial data and incoming and outgoing data flows (SQL Server, SSIS, Historian), - Consolidate the different On Premise data sources towards our Azure Datalake and Data cubes, - Participate in the design of dashboards and reporting in connection with business services (continuous improvement, process, quality, production, etc.), - Provide support to key users. - With a BAC+5 in Computer Science in the field of business intelligence (BI), you have significant experience of at least 5 years as a Data Engineer. - Mastery of tools such as SSIS, Azure data factory, SSRS, PowerBI Server &amp; Desktop. - Knowledge of Azure and Databricks platforms is appreciated. - General knowledge of IT (architecture, databases, development methodologies, etc.). - Knowledge of the industrial environment appreciated. - Mastery of written and spoken English - Personal qualities sought: listening skills and interpersonal skills, strength of proposal, pragmatism, ability to synthesize, taste for the field, ability to work in a team and communicate.</x:v>
      </x:c>
      <x:c r="E144" s="5" t="str">
        <x:v>45500.0</x:v>
      </x:c>
      <x:c r="F144" s="5" t="str">
        <x:v>1562c7a3-c7d9-419d-b9b6-db26610bcf84</x:v>
      </x:c>
      <x:c r="G144" s="7" t="str">
        <x:v>["SQL Server Integration Services", "communication", "database", "design cloud architecture", "handle incidents", "online analytical processing"]</x:v>
      </x:c>
      <x:c r="H144" s="7" t="str">
        <x:v>["SQL Server Integration Services", "database"]</x:v>
      </x:c>
      <x:c r="I144" s="7" t="str">
        <x:v>["communication"]</x:v>
      </x:c>
      <x:c r="J144" s="7" t="str">
        <x:v>["data_analysis", "data_engineering"]</x:v>
      </x:c>
      <x:c r="K144" s="7" t="str">
        <x:v>["data_engineering"]</x:v>
      </x:c>
      <x:c r="L144" s="7" t="str">
        <x:v>["data_analysis", "data_engineering"]</x:v>
      </x:c>
      <x:c r="M144" s="7" t="str">
        <x:v>["data_analysis", "data_engineering"]</x:v>
      </x:c>
      <x:c r="N144" s="7" t="str">
        <x:v>["data_analysis", "data_engineering"]</x:v>
      </x:c>
      <x:c r="O144" s="7" t="str">
        <x:v>["esco", "title", "description"]</x:v>
      </x:c>
      <x:c r="P144" s="7" t="str">
        <x:v>["communication"]</x:v>
      </x:c>
      <x:c r="Q144" s="8" t="str">
        <x:v>yes</x:v>
      </x:c>
      <x:c r="R144" s="8" t="str">
        <x:v>yes</x:v>
      </x:c>
      <x:c r="S144" s="8" t="str">
        <x:v>yes</x:v>
      </x:c>
      <x:c r="T144" s="7" t="str">
        <x:v>Reviewed against title, duties, mapped skills and detection sources.</x:v>
      </x:c>
    </x:row>
    <x:row r="145">
      <x:c r="A145" s="5" t="str">
        <x:v>data</x:v>
      </x:c>
      <x:c r="B145" s="5" t="str">
        <x:v>201RGLD</x:v>
      </x:c>
      <x:c r="C145" s="7" t="str">
        <x:v>DevOps F/H (H/F)</x:v>
      </x:c>
      <x:c r="D145" s="7" t="str">
        <x:v>We are looking for a DevOps Operations Analyst F/M. Your main mission? Ensure the construction and usability of the application scope of a major account client in Limoges. Mission side: As part of projects in DevOps mode, we are looking for a profile whose mission will be to build the usability of the entrusted application scope with the following activities: * Identify and achieve the usability of the product as well as the quality of service requested * Respect the team's constraints in terms of deadlines * Actively participate in various ceremonies * Inform your tasks in the tools shared by other members of the product team * Develop scripts (Bash, Shell Linux, groovy) * Develop scripts in "Infra As Code" language * Create and test the processing to be implemented in the scheduler * Document the actions or information to share with the Industrial team * Ensure the monitoring and evolution of its portfolio - * Be a force for proposing various operating developments - * Encourage and build automated processes * Monitor the operation and production quality Technical side: * Linux / Unix * Windows server * Databases: MySQL, Postgres, Oracle and NoSQL * Supervision: Centreon, ELK, Grafana * Scheduler: VTOM * Backup: Netbackup, Rubrik * Scripting: Ansible, Bash, Groovy, Powershell, Python * DevOps: Openshif, Kubernetes, Jenkins, Gitlab, Docker * Methodologies: ITIL, DevOps, Agile, Scrum Working conditions: * Teamwork in an open-space: 9 a.m. - 5 p.m. Monday to Friday * Full face-to-face position at start-up then 2 days of teleworking possible per week * Scheduled on-call duties only To join us, it's simple, here's what will be important: * 3 years minimum experience in a similar position With excellent interpersonal skills, you demonstrate availability and responsiveness in your daily work. You have strong analysis and synthesis skills, allowing you to design and implement appropriate usability, including in particular the documentation necessary for the product. Oriented towards results and quality of service, you know how to fit into the dynamics of the product team and get involved in your subjects while ensuring deadlines are met. The icing on the cake? You have knowledge of ITIL processes! Positions to be filled in Limoges (87000). Salary of 30 to 33k gross annually. All vacancies are accessible to people with disabilities. Célios attaches great importance to putting respect, ethics and social inclusion at the heart of the work environment and promoting it among its employees and clients.</x:v>
      </x:c>
      <x:c r="E145" s="5" t="str">
        <x:v>31499.5</x:v>
      </x:c>
      <x:c r="F145" s="5" t="str">
        <x:v>f2b15a0e-e65a-438a-affb-29b9d50b77d1</x:v>
      </x:c>
      <x:c r="G145" s="7" t="str">
        <x:v>["Agile development", "DevOps", "Groovy", "Jenkins (tools for software configuration management)", "Oracle Relational Database", "PostgreSQL", "application usability", "assess quality of services", "consult with business clients"]</x:v>
      </x:c>
      <x:c r="H145" s="7" t="str">
        <x:v>["DevOps", "Jenkins (tools for software configuration management)", "Oracle Relational Database", "PostgreSQL"]</x:v>
      </x:c>
      <x:c r="I145" s="7" t="str">
        <x:v>["consult with business clients"]</x:v>
      </x:c>
      <x:c r="J145" s="7" t="str">
        <x:v>["cloud_devops", "data_engineering"]</x:v>
      </x:c>
      <x:c r="K145" s="7" t="str">
        <x:v>["cloud_devops"]</x:v>
      </x:c>
      <x:c r="L145" s="7" t="str">
        <x:v>["data_engineering", "cloud_devops", "networks_systems"]</x:v>
      </x:c>
      <x:c r="M145" s="7" t="str">
        <x:v>["cloud_devops", "data_engineering", "networks_systems"]</x:v>
      </x:c>
      <x:c r="N145" s="7" t="str">
        <x:v>["data_engineering", "cloud_devops"]</x:v>
      </x:c>
      <x:c r="O145" s="7" t="str">
        <x:v>["esco", "title", "description"]</x:v>
      </x:c>
      <x:c r="P145" s="7" t="str">
        <x:v>["customer_interaction"]</x:v>
      </x:c>
      <x:c r="Q145" s="8" t="str">
        <x:v>yes</x:v>
      </x:c>
      <x:c r="R145" s="8" t="str">
        <x:v>yes</x:v>
      </x:c>
      <x:c r="S145" s="8" t="str">
        <x:v>yes</x:v>
      </x:c>
      <x:c r="T145" s="7" t="str">
        <x:v>Reviewed against title, duties, mapped skills and detection sources.</x:v>
      </x:c>
    </x:row>
    <x:row r="146">
      <x:c r="A146" s="5" t="str">
        <x:v>data</x:v>
      </x:c>
      <x:c r="B146" s="5" t="str">
        <x:v>001731</x:v>
      </x:c>
      <x:c r="C146" s="7" t="str">
        <x:v>Software auditor M/F</x:v>
      </x:c>
      <x:c r="D146" s="7" t="str">
        <x:v>The company supported and the missions: Always supported by Externatic, this industrial company designs and integrates software and hardware management and automation solutions for major players in logistics and production. As part of the development of its service contracts, it is creating a new position of IT Auditor F/M on a permanent contract in Lorient. This key function aims to strengthen the quality, performance and reliability of IT systems deployed to industrial customers. Your missions Integrated within the service unit, you will be involved in monitoring and optimizing customers' technical and application infrastructures. Your main missions: Carry out regular audits on application environments, databases and infrastructures Analyze the results of supervision probes and report relevant alerts Carry out in-depth diagnostics on Oracle and SQL tools Formulate optimization recommendations and action plans with clients Implement technical improvements validated with internal teams and the client Collaborate with the IT department, application teams and business managers Participate in the construction of the position and the implementation of best practices audit This role combines technical, customer relations and advice, with a real dimension of proactivity and added value. Profile: Profile sought With higher education (Bac +3 to Bac +5) in IT, you have experience in the administration or support of complex systems, ideally in an industrial context. You have solid skills in: Databases: Oracle, SQL Server, PL/SQL Application analysis and optimization Software architecture / systems An application-oriented DBA profile or experienced support engineer will find here an environment where they can flourish and be a force for proposals. Fluency in technical English is necessary to collaborate on international projects. You like customer contact, analysis, teaching and rigor. You want a position combining technical expertise and consulting vision. Conditions Salary: 42–52 K€ depending on profile + RTT group profit-sharing and benefits, comprehensive mutual insurance, restaurant vouchers, housing assistance Internal training program and personalized support Opportunities for development within an international industrial group Stimulating technical environment, at the crossroads of support, audit and application performance Recruitment process &amp; Externatic Externatic, a recruitment firm specializing in IT and technology professions, exclusively supports final companies on permanent recruitments. Our approach favors transparency, proximity and individual monitoring of candidates. The process includes: - A telephone exchange with an Externatic consultant - An in-depth interview with the firm - The client's internal process (technical and managerial interview) Externatic is committed to guaranteeing you personalized follow-up, rapid feedback, and to opening the doors to a network of innovative industrial companies. Advantages: Attractive salary: €42–52 thousand depending on profile + RTT group profit-sharing and benefits, comprehensive mutual insurance, restaurant vouchers, housing assistance Internal training program and personalized support Opportunities for advancement within an international industrial group Stimulating technical environment, at the crossroads of support, audit and application performance</x:v>
      </x:c>
      <x:c r="E146" s="5" t="str">
        <x:v>47000.0</x:v>
      </x:c>
      <x:c r="F146" s="5" t="str">
        <x:v>04ba4d6c-957d-417f-bf63-5b9e015a9f86</x:v>
      </x:c>
      <x:c r="G146" s="7" t="str">
        <x:v>["SQL Server", "authoring software", "conduct financial audits", "contact customers", "customer relationship management", "database", "database development tools", "database management systems", "industrial design", "manage service contracts in the drilling industry", "perform quality audits", "provide technical expertise", "software architecture models"]</x:v>
      </x:c>
      <x:c r="H146" s="7" t="str">
        <x:v>["SQL Server", "database", "database development tools", "database management systems", "software architecture models"]</x:v>
      </x:c>
      <x:c r="I146" s="7" t="str">
        <x:v>["customer relationship management"]</x:v>
      </x:c>
      <x:c r="J146" s="7" t="str">
        <x:v>["data_analysis", "data_engineering", "software"]</x:v>
      </x:c>
      <x:c r="K146" s="7" t="str">
        <x:v>[]</x:v>
      </x:c>
      <x:c r="L146" s="7" t="str">
        <x:v>["data_engineering"]</x:v>
      </x:c>
      <x:c r="M146" s="7" t="str">
        <x:v>["data_analysis", "data_engineering", "software"]</x:v>
      </x:c>
      <x:c r="N146" s="7" t="str">
        <x:v>["data_engineering"]</x:v>
      </x:c>
      <x:c r="O146" s="7" t="str">
        <x:v>["esco", "description"]</x:v>
      </x:c>
      <x:c r="P146" s="7" t="str">
        <x:v>["customer_interaction"]</x:v>
      </x:c>
      <x:c r="Q146" s="8" t="str">
        <x:v>yes</x:v>
      </x:c>
      <x:c r="R146" s="8" t="str">
        <x:v>yes</x:v>
      </x:c>
      <x:c r="S146" s="8" t="str">
        <x:v>yes</x:v>
      </x:c>
      <x:c r="T146" s="7" t="str">
        <x:v>Reviewed against title, duties, mapped skills and detection sources.</x:v>
      </x:c>
    </x:row>
    <x:row r="147">
      <x:c r="A147" s="5" t="str">
        <x:v>data</x:v>
      </x:c>
      <x:c r="B147" s="5" t="str">
        <x:v>15vee2w4oy</x:v>
      </x:c>
      <x:c r="C147" s="7" t="str">
        <x:v>Developer Full-Stack Node/VueJS H/F</x:v>
      </x:c>
      <x:c r="D147" s="7" t="str">
        <x:v>RESPONSIBILITIES: As part of the ISAGRI growth plan, we are recruiting Vue/NodeJS Development Engineers M/F to join a project team working on an accounting and financial management web application and thus participate in the development of innovative IT solutions to help our clients (Accounting Firms and Businesses, etc.) manage their businesses. Our objective: to become the French leader in software publishing for the accounting profession and the world leader in software publishing for the agricultural world. To do this, the company wishes to continue its technological shift by expanding our range of SaaS products. To meet this objective, we therefore need passionate technical experts who can develop our solutions. Your mission will be the development of new modules, from technical analysis to implementation, ensuring high code quality and compliance with functional expectations. In a logic of enrichment, you will participate in technical monitoring and in improving the team's skills by disseminating your skills. You will also support the product owner and the squad lead in managing the project and monitoring the technical work of the team members. The stacks: - Client: VueJS, TypeScript, Javascript, HTML 5, CSS 3, apollo - Server: Node JS, prisma, AWS, SQL, NoSQL PROFILE WANTED: At bac+5 level in computer science, you have experience in developing JS technologies in web application publishing: - You have experience in developing web solutions using Vue or equivalent (React, Svelte...) and Nodejs. - You are proficient in SQL and/or a NoSQL database - You have knowledge of software architecture ((pattern n-tiers, Design Patterns) - You are capable of creating and developing algorithms based on identified needs - You have an ability to work in collaboration with other developers and multidisciplinary teams - You are organized, methodical and rigorous. - Your curiosity, involvement, autonomy and passion for new technologies combined with good interpersonal skills will be essential assets to succeed in this position And other skills that would be a plus - Experience in agile development and/or in a DevOps context - Knowledge of SaaS and the AWS platform would be appreciated - Knowledge of micro-services - Knowledge in one of the following areas: accounting, finance YOUR DEVELOPMENTS The HR investment policy with our employees guarantees you regular support to help you progress and evolve towards new missions depending on your project. Joining our group is the guarantee of continuing training, a personalized career plan and local management. Depending on your profile and your aspirations, you will be able to progress towards: - Management of a team of Developers (Scrum Master, Release Train Engineer, etc.) - Technical expertise (Tech Lead, Architect, etc.) PROPOSED CONDITIONS Permanent position based in Nantes to be filled as soon as possible. Participation. Teleworking possible up to 2 days/week As part of its HR policy, ISAGRI studies, for equal skills, all applications including those from people with disabilities.</x:v>
      </x:c>
      <x:c r="E147" s="5" t="str">
        <x:v>47500.0</x:v>
      </x:c>
      <x:c r="F147" s="5" t="str">
        <x:v>57af9090-55b4-4911-b2d0-86db01c00b02</x:v>
      </x:c>
      <x:c r="G147" s="7" t="str">
        <x:v>["NoSQL", "SQL", "TypeScript", "accounting", "consult with technical staff", "patient autonomy", "provide technical expertise", "software UI design patterns"]</x:v>
      </x:c>
      <x:c r="H147" s="7" t="str">
        <x:v>["NoSQL", "SQL", "TypeScript"]</x:v>
      </x:c>
      <x:c r="I147" s="7" t="str">
        <x:v>[]</x:v>
      </x:c>
      <x:c r="J147" s="7" t="str">
        <x:v>["data_analysis", "data_engineering", "software"]</x:v>
      </x:c>
      <x:c r="K147" s="7" t="str">
        <x:v>["software"]</x:v>
      </x:c>
      <x:c r="L147" s="7" t="str">
        <x:v>["data_engineering", "software", "cloud_devops"]</x:v>
      </x:c>
      <x:c r="M147" s="7" t="str">
        <x:v>["cloud_devops", "data_analysis", "data_engineering", "software"]</x:v>
      </x:c>
      <x:c r="N147" s="7" t="str">
        <x:v>["data_engineering", "software"]</x:v>
      </x:c>
      <x:c r="O147" s="7" t="str">
        <x:v>["esco", "title", "description"]</x:v>
      </x:c>
      <x:c r="P147" s="7" t="str">
        <x:v>[]</x:v>
      </x:c>
      <x:c r="Q147" s="8" t="str">
        <x:v>yes</x:v>
      </x:c>
      <x:c r="R147" s="8" t="str">
        <x:v>yes</x:v>
      </x:c>
      <x:c r="S147" s="8" t="str">
        <x:v>yes</x:v>
      </x:c>
      <x:c r="T147" s="7" t="str">
        <x:v>Reviewed against title, duties, mapped skills and detection sources.</x:v>
      </x:c>
    </x:row>
    <x:row r="148">
      <x:c r="A148" s="5" t="str">
        <x:v>data</x:v>
      </x:c>
      <x:c r="B148" s="5" t="str">
        <x:v>204HZBP</x:v>
      </x:c>
      <x:c r="C148" s="7" t="str">
        <x:v>Data engineer (M/F)</x:v>
      </x:c>
      <x:c r="D148" s="7" t="str">
        <x:v>Participate in Coallia's social utility mission serving the most vulnerable. With more than 900 systems, we intervene within the framework of public policies with 100,000 people per day: migrant workers, asylum seekers, refugees, unaccompanied minors, people weakened by the lack of housing or even those in a situation of dependency and disability. The values ​​of fraternity, hospitality and proximity inspire the 5,000 professionals of the Association. Join us! As part of strengthening our data engineering activities, we are looking for a motivated data engineer to support our Data team on strategic projects aimed at setting up a complete data valorization chain (ETL: Loading, Transformation and Exposure) in order to make it a lever for performance, innovation and decision-making. This position represents a unique opportunity to concretely discover the challenges of the Data Engineer profession in a stimulating professional environment. The missions: 1. Design and Construction of Data Pipelines (DataOps) 2. Industrialization &amp; Deployment (CI/CD) 3. Governance, Security and Data Quality 4. Technical Support and Optimization 5. Technology Monitoring and Participation in Continuous Improvement</x:v>
      </x:c>
      <x:c r="E148" s="5" t="str">
        <x:v>39500.0</x:v>
      </x:c>
      <x:c r="F148" s="5" t="str">
        <x:v>258e46f9-0075-4a2e-adae-1ff0477e0f30</x:v>
      </x:c>
      <x:c r="G148" s="7" t="str">
        <x:v>["continuous improvement philosophies", "coordinate security", "data engineering", "data quality assessment", "good governance", "innovation processes", "make decisions", "meet commitments in hospitality"]</x:v>
      </x:c>
      <x:c r="H148" s="7" t="str">
        <x:v>["data engineering"]</x:v>
      </x:c>
      <x:c r="I148" s="7" t="str">
        <x:v>["innovation processes", "make decisions", "meet commitments in hospitality"]</x:v>
      </x:c>
      <x:c r="J148" s="7" t="str">
        <x:v>["data_engineering"]</x:v>
      </x:c>
      <x:c r="K148" s="7" t="str">
        <x:v>["data_engineering"]</x:v>
      </x:c>
      <x:c r="L148" s="7" t="str">
        <x:v>["data_engineering", "cloud_devops"]</x:v>
      </x:c>
      <x:c r="M148" s="7" t="str">
        <x:v>["cloud_devops", "data_engineering"]</x:v>
      </x:c>
      <x:c r="N148" s="7" t="str">
        <x:v>["data_engineering"]</x:v>
      </x:c>
      <x:c r="O148" s="7" t="str">
        <x:v>["esco", "title", "description"]</x:v>
      </x:c>
      <x:c r="P148" s="7" t="str">
        <x:v>["creativity", "initiative_responsibility", "problem_solving"]</x:v>
      </x:c>
      <x:c r="Q148" s="8" t="str">
        <x:v>yes</x:v>
      </x:c>
      <x:c r="R148" s="8" t="str">
        <x:v>yes</x:v>
      </x:c>
      <x:c r="S148" s="8" t="str">
        <x:v>yes</x:v>
      </x:c>
      <x:c r="T148" s="7" t="str">
        <x:v>Reviewed against title, duties, mapped skills and detection sources.</x:v>
      </x:c>
    </x:row>
    <x:row r="149">
      <x:c r="A149" s="5" t="str">
        <x:v>data</x:v>
      </x:c>
      <x:c r="B149" s="5" t="str">
        <x:v>27757766</x:v>
      </x:c>
      <x:c r="C149" s="7" t="str">
        <x:v>Technical Architect F/M</x:v>
      </x:c>
      <x:c r="D149" s="7" t="str">
        <x:v>The Coexya group, an independent digital player and multi-specialist (consulting, integration &amp; software), has more than 700 employees and supports companies in their digital transformation. Coexya works on numerous projects that contribute to societal progress (health, environment, digital responsibility, etc.). Respect for our values: commitment, respect and sharing, is an essential element of our corporate culture and this begins at the recruitment stage. CONTEXT The Smart Urban Mobility (MUI) Business Unit of Coexya in Lyon is looking for its future F/M Architect. With more than 10 years of experience in the world of transport, the MUI entity supports its clients in the design, creation and integration of MaaS (Mobility as a Service) type platforms capable of interfacing with most mobility solutions on the market. The promulgation of the Mobility Orientation Law (LOM) allows us to support our customers in a digital revolution approach for transport in order to face ecological challenges and the need for companies to move towards sustainable development. WHAT WE OFFER YOU Integrated within our teams, your missions will be as follows: - Analyze the existing situation and the Customer's expectations: understand the business and IT needs to design an architecture that can meet the expectations of each project (business, technical, performance and security requirements), - Propose architectures and technical solutions: know how to present and argue the possible alternatives for customers, write and keep the Solution Architecture File up to date, - Support the projects : design and implement the technical standards of the project, - Support business, technical and software deployment, - Coordinate architectural activities internally and in conjunction with clients and supervise development, - Participate in the entity's innovation initiatives, ensure constant technological monitoring, - Support internal teams: Ensure the good skills of developers and lead developers and lead the skills development strategy. WHAT WE EXPECT OF YOU - You have at least 5 years of experience on technical design missions, - You master micro-services, Rest, web and SOA architectures, - You have a good knowledge of data persistence solutions: relational databases, no sql, - You already have experience in containerization and container orchestration: Docker, Kubernetes, Swarm, - Your previous experiences took place within the framework of fixed-price projects or with a software publisher, - Ideally, you have knowledge of ticketing and/or intelligent urban mobility, AND HUMANLY? - Your team spirit and your communication skills allow you to share and exchange your knowledge with all stakeholders, - You are proactive and know how to defend your architectural choices, TECHNICAL ENVIRONMENT - Architecture: micro-services, web, REST - Language: JavaScript (NodeJS, TypeScript, React, Angular), Java, .Net Core, Go - Mobile: Swift, Kotlin - Database: PostgreSQL, Oracle, SQL Server, MongoDB, Redis - Cloud: MS Azure, AWS, - Containerization: Docker, Kubernetes - Devops: Gitlab, Jenkins, Terraform, Ansible, Argos CD, .. This does not mean that you have to master everything! WORKPLACE COEXYA - Lyon agency, within our skills center 9 avenue Charles de Gaulle 69370 Saint Didier au Mont d'Or. The site is accessible via TCL (approx. 10 minutes by bus from Vaise station). A fleet of bicycles or electric company cars are also available to employees who are members of the program. Coexya's DNA - A company in the TOP 20 French companies for diversity and inclusion (September 2022 Glassdoor survey), - A company recommended 69% by its employees with the management and atmosphere acclaimed (2022 satisfaction barometer), - Hybrid teleworking, - A turnover of 10% (compared to 20% on average for ESNs), - A pleasant working environment: new equipment, access multimodal, shared library, integrated gym, vegetable garden, sporting activities possible nearby, - Possibility of joining the soft mobility program (carpooling, bicycles and electric cars). RECRUITMENT PATHWAY - Prequalification t</x:v>
      </x:c>
      <x:c r="E149" s="5" t="str">
        <x:v>52500.0</x:v>
      </x:c>
      <x:c r="F149" s="5" t="str">
        <x:v>2bef94db-0088-4507-982a-2ca717529adb</x:v>
      </x:c>
      <x:c r="G149" s="7" t="str">
        <x:v>["Ansible", "Java (computer programming)", "Jenkins (tools for software configuration management)", "Oracle Relational Database", "SQL Server", "TypeScript", "architectural design", "authoring software", "bicycle mechanics", "communicate with customers", "consult with business clients", "corporate sustainability", "design enterprise architecture", "mobility as a service", "recruit employees", "solution deployment", "solve technical problems", "supervise property development projects", "technical terminology"]</x:v>
      </x:c>
      <x:c r="H149" s="7" t="str">
        <x:v>["Java (computer programming)", "Jenkins (tools for software configuration management)", "Oracle Relational Database", "SQL Server", "TypeScript"]</x:v>
      </x:c>
      <x:c r="I149" s="7" t="str">
        <x:v>["communicate with customers", "consult with business clients", "solve technical problems"]</x:v>
      </x:c>
      <x:c r="J149" s="7" t="str">
        <x:v>["cloud_devops", "data_analysis", "data_engineering", "software"]</x:v>
      </x:c>
      <x:c r="K149" s="7" t="str">
        <x:v>[]</x:v>
      </x:c>
      <x:c r="L149" s="7" t="str">
        <x:v>["data_engineering", "software", "cloud_devops"]</x:v>
      </x:c>
      <x:c r="M149" s="7" t="str">
        <x:v>["cloud_devops", "data_analysis", "data_engineering", "software"]</x:v>
      </x:c>
      <x:c r="N149" s="7" t="str">
        <x:v>["data_engineering", "software", "cloud_devops"]</x:v>
      </x:c>
      <x:c r="O149" s="7" t="str">
        <x:v>["esco", "description"]</x:v>
      </x:c>
      <x:c r="P149" s="7" t="str">
        <x:v>["communication", "customer_interaction", "problem_solving"]</x:v>
      </x:c>
      <x:c r="Q149" s="8" t="str">
        <x:v>yes</x:v>
      </x:c>
      <x:c r="R149" s="8" t="str">
        <x:v>yes</x:v>
      </x:c>
      <x:c r="S149" s="8" t="str">
        <x:v>yes</x:v>
      </x:c>
      <x:c r="T149" s="7" t="str">
        <x:v>Reviewed against title, duties, mapped skills and detection sources.</x:v>
      </x:c>
    </x:row>
    <x:row r="150">
      <x:c r="A150" s="5" t="str">
        <x:v>data</x:v>
      </x:c>
      <x:c r="B150" s="5" t="str">
        <x:v>SOFTY_PE_V2_189086_LOC_0</x:v>
      </x:c>
      <x:c r="C150" s="7" t="str">
        <x:v>BI DEVELOPMENT ENGINEER - M/F</x:v>
      </x:c>
      <x:c r="D150" s="7" t="str">
        <x:v>Description: Want concrete, useful and varied IT projects? Be part of a team that transforms business needs into intelligent solutions! Join the GP Group in Montélimar, and put your technical skills at the service of a company undergoing digital evolution. YOUR MISSIONS: You are involved in the entire life cycle of our IT projects: • Analyze the needs of internal users and understand their business challenges. • Optimize our business software and decision-making tools through relevant developments • Integrate, interface and automate our various tools for maximum efficiency • Support users in the deployment and continuous improvement of solutions. • Participate in the maintenance of the systems in place. Profile sought: YOUR TECHNICAL STRENGTHS: You are curious, rigorous and enjoy working in a team. Your skills are based on solid foundations in: • Business software (such as ERP, EDM, CRM, HRIS, etc.) • EDI (Orders, Desadv, Invoic, Factur-X, AS2, etc.) • Databases (such as Oracle, MySQL, SQL Server, etc.) • Data integration and interfacing (such as ETL, API, etc.) • Business Intelligence (such as SSAS, SSRS, Power BI, etc.) • Development (such as Java, JavaScript, Python, PHP, etc.) YOU LIKE: Listening, understanding and formalizing user needs. Share and choose the best technical solution with the team. Design, test and deploy reliable and efficient tools. Continuously evolve systems, with a real sense of service. CONDITIONS &amp; ENVIRONMENT: Permanent contract, 39 hours/week, based in Montélimar (GP Group headquarters) Occasional travel to our different sites Team work, in a caring, collaborative and passionate atmosphere Bac+5 training in IT required WHY JOIN US? Concrete and varied projects, close to users A team on a human scale, where your ideas count A stimulating work environment, with the tools of the moment The possibility of evolving in a solid and dynamic group</x:v>
      </x:c>
      <x:c r="E150" s="5" t="str">
        <x:v>41544.0</x:v>
      </x:c>
      <x:c r="F150" s="5" t="str">
        <x:v>1562c7a3-c7d9-419d-b9b6-db26610bcf84</x:v>
      </x:c>
      <x:c r="G150" s="7" t="str">
        <x:v>["Java (computer programming)", "PHP", "Python (computer programming)", "SQL Server", "business intelligence", "decision support systems", "identify digital competence gaps", "use databases"]</x:v>
      </x:c>
      <x:c r="H150" s="7" t="str">
        <x:v>["Java (computer programming)", "PHP", "Python (computer programming)", "SQL Server", "business intelligence"]</x:v>
      </x:c>
      <x:c r="I150" s="7" t="str">
        <x:v>[]</x:v>
      </x:c>
      <x:c r="J150" s="7" t="str">
        <x:v>["data_analysis", "data_engineering", "software"]</x:v>
      </x:c>
      <x:c r="K150" s="7" t="str">
        <x:v>[]</x:v>
      </x:c>
      <x:c r="L150" s="7" t="str">
        <x:v>["data_analysis", "data_engineering", "software"]</x:v>
      </x:c>
      <x:c r="M150" s="7" t="str">
        <x:v>["data_analysis", "data_engineering", "software"]</x:v>
      </x:c>
      <x:c r="N150" s="7" t="str">
        <x:v>["data_analysis", "data_engineering", "software"]</x:v>
      </x:c>
      <x:c r="O150" s="7" t="str">
        <x:v>["esco", "description"]</x:v>
      </x:c>
      <x:c r="P150" s="7" t="str">
        <x:v>[]</x:v>
      </x:c>
      <x:c r="Q150" s="8" t="str">
        <x:v>yes</x:v>
      </x:c>
      <x:c r="R150" s="8" t="str">
        <x:v>yes</x:v>
      </x:c>
      <x:c r="S150" s="8" t="str">
        <x:v>yes</x:v>
      </x:c>
      <x:c r="T150" s="7" t="str">
        <x:v>Reviewed against title, duties, mapped skills and detection sources.</x:v>
      </x:c>
    </x:row>
    <x:row r="151">
      <x:c r="A151" s="5" t="str">
        <x:v>data</x:v>
      </x:c>
      <x:c r="B151" s="5" t="str">
        <x:v>7320377</x:v>
      </x:c>
      <x:c r="C151" s="7" t="str">
        <x:v>PHP Backend Developer (F/M)</x:v>
      </x:c>
      <x:c r="D151" s="7" t="str">
        <x:v>Company Joining Alpes Controls means being part of a company of more than 1,000 employees, who work daily to satisfy their customers in the management of human, environmental and technical risks. As a control body, we are spread across more than 65 agencies in France and operate in 3 areas of activity: Construction and Operation, Training and Organic Certification. A family business with an innovative social project, we have the concept of a non-violent economy at heart. By joining the company, you enrich the company with your many skills, while helping to maintain and promote our vision of the profession. That is to say carrying out missions with real social utility and carrying out quality work. Position Within the Alpes Controles IT department, made up of 30 people, you will be attached to the Engineering team to participate in the modernization of our internal tools. Within this team of 6 people including a manager, you will take charge of the technical missions around the Backend part which will be entrusted to you. As such, your activities will mainly be as follows: * Participate in the development and modernization of the PHP back-end of internal applications, * Propose new innovative technical solutions to meet our needs. * Write technical documentation and support the improvement of skills of teams on PHP, * Disseminate PHP development best practices to the entire development department, * Set up automated tests and guarantee the quality of PHP developments * Ensure security and good practices in this area * Carry out regular monitoring of technologies around PHP and the Backend. * Promote the use of AI in this area to the rest of the team. Please note that this position can be based in Albertville, Chambéry, Lyon, Bourgoin, Grenoble. Profile You have a BAC+3 to BAC+5 training in IT and have at least 2 to 3 years of experience in Backend Web development, particularly in PHP. You master modern PHP development techniques and technologies: PHP 8.x, API, micro-services, MVC, object programming, testing, as well as MySQL/MariaDB and ideally NoSQL databases. You have already demonstrated your skills through recent and concrete projects. Working on legacy code does not scare you: on the contrary, you like to take on technical challenges and provide sustainable solutions. Comfortable with modern development tools, you practice regularly: Git, GitLab, Docker and the PhpStorm IDE. You also have a good understanding of AI use cases applied to development, and know how to use them to improve your daily efficiency. Rigorous, with good interpersonal skills, you know how to listen, communicate and work as a team. Your sense of service, your autonomy and your proactivity are essential assets to succeed in this position. ### Why join us? Because you want to join a family business in full development (8 agency openings in France over the last 3 years) and with an innovative social project (absence of financial pressure, personal/professional life balance with 22.5 days of RTT,...). Our business project based on support, quality, environmental commitment and support for innovation; is available both to our customers and to our employees. Want to join us? Apply!</x:v>
      </x:c>
      <x:c r="E151" s="5" t="str">
        <x:v>38500.0</x:v>
      </x:c>
      <x:c r="F151" s="5" t="str">
        <x:v>57af9090-55b4-4911-b2d0-86db01c00b02</x:v>
      </x:c>
      <x:c r="G151" s="7" t="str">
        <x:v>["NoSQL", "PHP", "advise on sustainability solutions", "carry out project activities", "communication", "innovation processes", "provide technical documentation", "use object-oriented programming"]</x:v>
      </x:c>
      <x:c r="H151" s="7" t="str">
        <x:v>["NoSQL", "PHP", "use object-oriented programming"]</x:v>
      </x:c>
      <x:c r="I151" s="7" t="str">
        <x:v>["communication", "innovation processes"]</x:v>
      </x:c>
      <x:c r="J151" s="7" t="str">
        <x:v>["data_engineering", "software"]</x:v>
      </x:c>
      <x:c r="K151" s="7" t="str">
        <x:v>["software"]</x:v>
      </x:c>
      <x:c r="L151" s="7" t="str">
        <x:v>["data_engineering", "software", "cloud_devops"]</x:v>
      </x:c>
      <x:c r="M151" s="7" t="str">
        <x:v>["cloud_devops", "data_engineering", "software"]</x:v>
      </x:c>
      <x:c r="N151" s="7" t="str">
        <x:v>["data_engineering", "software"]</x:v>
      </x:c>
      <x:c r="O151" s="7" t="str">
        <x:v>["esco", "title", "description"]</x:v>
      </x:c>
      <x:c r="P151" s="7" t="str">
        <x:v>["communication", "creativity"]</x:v>
      </x:c>
      <x:c r="Q151" s="8" t="str">
        <x:v>yes</x:v>
      </x:c>
      <x:c r="R151" s="8" t="str">
        <x:v>yes</x:v>
      </x:c>
      <x:c r="S151" s="8" t="str">
        <x:v>yes</x:v>
      </x:c>
      <x:c r="T151" s="7" t="str">
        <x:v>Reviewed against title, duties, mapped skills and detection sources.</x:v>
      </x:c>
    </x:row>
    <x:row r="152">
      <x:c r="A152" s="5" t="str">
        <x:v>software</x:v>
      </x:c>
      <x:c r="B152" s="5" t="str">
        <x:v>001638</x:v>
      </x:c>
      <x:c r="C152" s="7" t="str">
        <x:v>DevOps / Expert Kubernetes - H/F</x:v>
      </x:c>
      <x:c r="D152" s="7" t="str">
        <x:v>The company supported and the missions: The company and the team Join a player committed to “green” hosting and Open Source! This web host, recognized for its expertise with large public accounts (ADEME, CNIL, local authorities) and large private clients, offers you the opportunity to join them as a Kubernetes Expert (M/F). Your missions: Design, maintain and evolve CI/CD pipelines to streamline continuous delivery cycles, Deploy automated, robust and scalable infrastructures, Work directly with client technical teams to improve and automate deployment processes, Ensure the performance and high availability of systems in production, with a proactive supervision approach, Establish indicators and alerts to guarantee responsiveness to incidents, Identify points of friction within existing infrastructures and propose solutions optimizations, Participate in the compliance of systems and the security of environments (ISO 27001, DevSecOps good practices, etc.) Technical environment: Open Source Culture Kubernetes, Ansible, Puppet, Foreman, Terraform, OS Linux, Proxmox, Security (EDR/XDR, OPNsense firewall, WAZUH, SIEM), DevSecOps approach Ruby is a plus Working conditions - Location: East of Nantes (accessible by transport: T1) - Remote: 3 days / week What you will gain - Salary: €50,000 - €65,000 - Employee shareholding - 70% mutual insurance and 100% pension provision by the employer - Various bonuses The process - Application processing and meeting with Alexandre from Externatic - Meeting with the Technical Director Profile: What you bring Graduated in higher education in computer science, you have initial experience as DevOps in Open Source environments. Advantages: The "pluses" of the position - Stable company recognized in the West - Clients with high stakes / volume - Great prospects for training and internal development - Remote friendly - Dynamic team</x:v>
      </x:c>
      <x:c r="E152" s="5" t="str">
        <x:v>57500.0</x:v>
      </x:c>
      <x:c r="F152" s="5" t="str">
        <x:v>f2b15a0e-e65a-438a-affb-29b9d50b77d1</x:v>
      </x:c>
      <x:c r="G152" s="7" t="str">
        <x:v>["Ansible", "DevOps", "Puppet (tools for software configuration management)", "Ruby (computer programming)", "ensure adherence to organisational ICT standards", "operating systems", "supervision of persons"]</x:v>
      </x:c>
      <x:c r="H152" s="7" t="str">
        <x:v>["DevOps", "Ruby (computer programming)"]</x:v>
      </x:c>
      <x:c r="I152" s="7" t="str">
        <x:v>[]</x:v>
      </x:c>
      <x:c r="J152" s="7" t="str">
        <x:v>["cloud_devops", "software"]</x:v>
      </x:c>
      <x:c r="K152" s="7" t="str">
        <x:v>["cloud_devops"]</x:v>
      </x:c>
      <x:c r="L152" s="7" t="str">
        <x:v>["software", "cloud_devops", "cybersecurity", "networks_systems"]</x:v>
      </x:c>
      <x:c r="M152" s="7" t="str">
        <x:v>["cloud_devops", "cybersecurity", "networks_systems", "software"]</x:v>
      </x:c>
      <x:c r="N152" s="7" t="str">
        <x:v>["software", "cloud_devops"]</x:v>
      </x:c>
      <x:c r="O152" s="7" t="str">
        <x:v>["esco", "title", "description"]</x:v>
      </x:c>
      <x:c r="P152" s="7" t="str">
        <x:v>[]</x:v>
      </x:c>
      <x:c r="Q152" s="8" t="str">
        <x:v>yes</x:v>
      </x:c>
      <x:c r="R152" s="8" t="str">
        <x:v>yes</x:v>
      </x:c>
      <x:c r="S152" s="8" t="str">
        <x:v>yes</x:v>
      </x:c>
      <x:c r="T152" s="7" t="str">
        <x:v>Reviewed against title, duties, mapped skills and detection sources.</x:v>
      </x:c>
    </x:row>
    <x:row r="153">
      <x:c r="A153" s="5" t="str">
        <x:v>software</x:v>
      </x:c>
      <x:c r="B153" s="5" t="str">
        <x:v>203DPLW</x:v>
      </x:c>
      <x:c r="C153" s="7" t="str">
        <x:v>PHP study and development engineer F/M (M/F)</x:v>
      </x:c>
      <x:c r="D153" s="7" t="str">
        <x:v>Your main missions will be: The writing of functional and technical specifications The technical design of applications The development of applications in PHP Tests and recipes: define and write test scenarios Participate in the maintenance of projects in place and their evolution Intervention on projects in Agile methods Coming from an engineering school or Bac +5 training, you have a first successful experience (internship, work-study, personal project) in Web development and mainly in PHP in its latest versions. You have knowledge of frameWorks (Symfony, ZEND) CMS (Drupal, Magento) databases (MySQL, MongoDb, Redis) and common tools (Apache, Git, Docker.) You are good communicator, rigorous and attentive. You are passionate about technological innovation and open source solutions and regularly monitor the web. Mastery of project management tools (V-cycle, Agile) is a plus. If you recognize yourself in this description, become who you are and join us at Cleeven!</x:v>
      </x:c>
      <x:c r="E153" s="5" t="str">
        <x:v>36000.0</x:v>
      </x:c>
      <x:c r="F153" s="5" t="str">
        <x:v>07e60525-1aad-4099-aaf3-2c7014c92212</x:v>
      </x:c>
      <x:c r="G153" s="7" t="str">
        <x:v>["Agile development", "Apache Maven", "PHP", "create new recipes"]</x:v>
      </x:c>
      <x:c r="H153" s="7" t="str">
        <x:v>["PHP"]</x:v>
      </x:c>
      <x:c r="I153" s="7" t="str">
        <x:v>[]</x:v>
      </x:c>
      <x:c r="J153" s="7" t="str">
        <x:v>["software"]</x:v>
      </x:c>
      <x:c r="K153" s="7" t="str">
        <x:v>[]</x:v>
      </x:c>
      <x:c r="L153" s="7" t="str">
        <x:v>["data_engineering", "software", "cloud_devops"]</x:v>
      </x:c>
      <x:c r="M153" s="7" t="str">
        <x:v>["cloud_devops", "data_engineering", "software"]</x:v>
      </x:c>
      <x:c r="N153" s="7" t="str">
        <x:v>["software"]</x:v>
      </x:c>
      <x:c r="O153" s="7" t="str">
        <x:v>["esco", "description"]</x:v>
      </x:c>
      <x:c r="P153" s="7" t="str">
        <x:v>[]</x:v>
      </x:c>
      <x:c r="Q153" s="8" t="str">
        <x:v>yes</x:v>
      </x:c>
      <x:c r="R153" s="8" t="str">
        <x:v>yes</x:v>
      </x:c>
      <x:c r="S153" s="8" t="str">
        <x:v>yes</x:v>
      </x:c>
      <x:c r="T153" s="7" t="str">
        <x:v>Reviewed against title, duties, mapped skills and detection sources.</x:v>
      </x:c>
    </x:row>
    <x:row r="154">
      <x:c r="A154" s="5" t="str">
        <x:v>software</x:v>
      </x:c>
      <x:c r="B154" s="5" t="str">
        <x:v>27672139</x:v>
      </x:c>
      <x:c r="C154" s="7" t="str">
        <x:v>Team Leader Technical Software - energy M/F</x:v>
      </x:c>
      <x:c r="D154" s="7" t="str">
        <x:v>Viveris is a consulting and engineering group specializing in the management and implementation of projects in the fields of IT and electronics. Engaging with Viveris is the assurance of meeting technical and human challenges while working on innovative projects in a collaborative and supportive environment. Mission context: Viveris supports its clients in the design and development of advanced technological solutions for the energy, transport, defense and industrial sectors. In this context, we are looking for a Software Technical Team Leader to supervise a development team and guarantee the technical consistency and software quality of embedded or application products. You will report directly to the R&amp;D Manager, you will be involved in all phases of the software life cycle, from design to integration, while playing a key role in increasing the skills of your team. Responsibilities: - Ensure the technical management of a team of developers (distribution of tasks, support, code review, integration); - Actively participate in software design, architecture and technical choices; - Contribute to the development of critical software modules in C/C++, Python or other suitable languages; - Supervise software integration, validation and qualification on target platforms; - Collaborate with the systems, electronics and quality teams to guarantee product consistency; - Participate in the implementation of tools and best practices (CI/CD, automated tests, documentation, Agile processes). Profile sought: Graduate of higher education in industrial computing, embedded systems or software development, you have at least 7 years of experience in software development, including initial experience as a technical lead or referent. Technical skills: - Strong skills in C/C++ language (embedded or application) and Python; - Good knowledge of Linux systems and embedded environments; - Mastery of development and integration tools (Git, CMake, Jenkins, Docker, CI/CD); - Knowledge of communication protocols (TCP/IP, CAN, MQTT, Modbus, etc.); - Familiarity with Agile / Scrum methodologies; - Knowledge of software architecture and configuration management. Our advantages: - Attractive and progressive remuneration; - Family mutual insurance with high guarantee; - Restaurant tickets covered at 60%; - 100% urban transport ticket reimbursed; - Incentive, participation and co-optation bonuses; - 2 days of teleworking per week; - Continuing training with LinkedIn Learning and our technical communities.</x:v>
      </x:c>
      <x:c r="E154" s="5" t="str">
        <x:v>50000.0</x:v>
      </x:c>
      <x:c r="F154" s="5" t="str">
        <x:v>82f90e87-de92-4678-adae-61d3e5f7e1e4</x:v>
      </x:c>
      <x:c r="G154" s="7" t="str">
        <x:v>["Agile development", "ICT communications protocols", "ICT project management", "Jenkins (tools for software configuration management)", "Python (computer programming)", "consumer electronics", "embedded systems", "project configuration management", "provide user documentation", "software architecture models", "software design methodologies", "systems development life-cycle"]</x:v>
      </x:c>
      <x:c r="H154" s="7" t="str">
        <x:v>["Jenkins (tools for software configuration management)", "Python (computer programming)", "software architecture models"]</x:v>
      </x:c>
      <x:c r="I154" s="7" t="str">
        <x:v>[]</x:v>
      </x:c>
      <x:c r="J154" s="7" t="str">
        <x:v>["cloud_devops", "data_analysis", "software"]</x:v>
      </x:c>
      <x:c r="K154" s="7" t="str">
        <x:v>[]</x:v>
      </x:c>
      <x:c r="L154" s="7" t="str">
        <x:v>["software", "cloud_devops", "networks_systems"]</x:v>
      </x:c>
      <x:c r="M154" s="7" t="str">
        <x:v>["cloud_devops", "data_analysis", "networks_systems", "software"]</x:v>
      </x:c>
      <x:c r="N154" s="7" t="str">
        <x:v>["software", "cloud_devops"]</x:v>
      </x:c>
      <x:c r="O154" s="7" t="str">
        <x:v>["esco", "description"]</x:v>
      </x:c>
      <x:c r="P154" s="7" t="str">
        <x:v>[]</x:v>
      </x:c>
      <x:c r="Q154" s="8" t="str">
        <x:v>yes</x:v>
      </x:c>
      <x:c r="R154" s="8" t="str">
        <x:v>yes</x:v>
      </x:c>
      <x:c r="S154" s="8" t="str">
        <x:v>yes</x:v>
      </x:c>
      <x:c r="T154" s="7" t="str">
        <x:v>Reviewed against title, duties, mapped skills and detection sources.</x:v>
      </x:c>
    </x:row>
    <x:row r="155">
      <x:c r="A155" s="5" t="str">
        <x:v>software</x:v>
      </x:c>
      <x:c r="B155" s="5" t="str">
        <x:v>202MHJK</x:v>
      </x:c>
      <x:c r="C155" s="7" t="str">
        <x:v>Lead Linux Software Developer - HMI &amp; Aviation (M/F)</x:v>
      </x:c>
      <x:c r="D155" s="7" t="str">
        <x:v>We are recruiting a Lead Linux Software Developer (HMI &amp; Embedded) on a permanent basis in Clayes-sous-Bois (78). Position As part of a strategic acquisition (aeronautical transponder testers), you will join the Design Office specializing in aviation. Your mission is to become the technical referent for this solution in France. After a phase of appropriation of the code (robust and documented) with the Canadian teams, you will manage the evolution of the HMI and embedded applications. Thus, your main missions will include: - Analyze the existing code and ensure technical relay - Maintain and develop the graphical interfaces (HMI) and associated tools under Linux - Technically coordinate 2 developers (no hierarchical management) - Become the specialist in the group's next generations of HMI - Collaborate with the English-speaking teams (1 to 2 trips planned to Canada) Technical environment - OS: Linux Kernel (System X distribution), GNU application - Languages: Python, JavaScript, C++, QML, Shell - Framework &amp; tools: Jinja, CSS, YAML, Git, CI/CD. Profile - Computer engineer, you have at least 3 years of experience in software development under Linux - A first experience in team coordination or project management is a real plus - You are proactive, technically curious and you like working in a team - Fluent English required (exchanges with Canada + technical documentation) Benefits - Remuneration of €55K to €65K depending on profile + 13th month - Incentive + participation (approximately one additional month) - Long-term recruitment and prospect of internal development - Opportunity to travel to Canada for technology transfer Recruitment process 1. Interview with Guillaume AUBIN - https://talentbrut.fr/ 2. Physical interview in the premises with the manager and HR 3. Visit to the premises, meeting the teams and integration Position located in Clayes-sous-Bois (78) with the possibility of working from home 1 day per week.</x:v>
      </x:c>
      <x:c r="E155" s="5" t="str">
        <x:v>62500.0</x:v>
      </x:c>
      <x:c r="F155" s="5" t="str">
        <x:v>f2b15a0e-e65a-438a-affb-29b9d50b77d1</x:v>
      </x:c>
      <x:c r="G155" s="7" t="str">
        <x:v>["C++", "Python (computer programming)", "design user interface", "embedded systems"]</x:v>
      </x:c>
      <x:c r="H155" s="7" t="str">
        <x:v>["C++", "Python (computer programming)"]</x:v>
      </x:c>
      <x:c r="I155" s="7" t="str">
        <x:v>[]</x:v>
      </x:c>
      <x:c r="J155" s="7" t="str">
        <x:v>["data_analysis", "software"]</x:v>
      </x:c>
      <x:c r="K155" s="7" t="str">
        <x:v>["software"]</x:v>
      </x:c>
      <x:c r="L155" s="7" t="str">
        <x:v>["software", "cloud_devops", "networks_systems"]</x:v>
      </x:c>
      <x:c r="M155" s="7" t="str">
        <x:v>["cloud_devops", "data_analysis", "networks_systems", "software"]</x:v>
      </x:c>
      <x:c r="N155" s="7" t="str">
        <x:v>["software"]</x:v>
      </x:c>
      <x:c r="O155" s="7" t="str">
        <x:v>["esco", "title", "description"]</x:v>
      </x:c>
      <x:c r="P155" s="7" t="str">
        <x:v>[]</x:v>
      </x:c>
      <x:c r="Q155" s="8" t="str">
        <x:v>yes</x:v>
      </x:c>
      <x:c r="R155" s="8" t="str">
        <x:v>yes</x:v>
      </x:c>
      <x:c r="S155" s="8" t="str">
        <x:v>yes</x:v>
      </x:c>
      <x:c r="T155" s="7" t="str">
        <x:v>Reviewed against title, duties, mapped skills and detection sources.</x:v>
      </x:c>
    </x:row>
    <x:row r="156">
      <x:c r="A156" s="5" t="str">
        <x:v>software</x:v>
      </x:c>
      <x:c r="B156" s="5" t="str">
        <x:v>7261722</x:v>
      </x:c>
      <x:c r="C156" s="7" t="str">
        <x:v>Tech Lead C# DEVOPS (H/F)</x:v>
      </x:c>
      <x:c r="D156" s="7" t="str">
        <x:v>Enterprise Link Consulting is a reliable partner for our many SME, mid-sized and large accounts clients at the national level. With us, offer your career new perspectives: evolution, challenge, professional development. Thanks to its dynamic and innovative structure, Link Consulting promotes initiative and freedom of enterprise. Let's move forward together towards the adventure that inspires you. Position Join the Electronic Signature Squad as a C#/DevOps Tech Lead and participate in a strategic project that transforms the way our client manages digital signatures. You will be involved in all stages: development, integration, testing, documentation and user support. Your missions: * Develop, optimize and maintain the electronic signature platform (C#). * Integrate internal and partner modules via API. * Participate in testing, validation and documentation of deliverables. * Train and support junior teams and users for optimal adoption. * Propose and implement improvements to the IS and infrastructure. Profile Your profile: * Bac+2 to Bac+5 training in IT or equivalent experience. * Confirmed expertise in C# * Knowledge of APIs, Web services and software architectures. * Practice of Agile methodologies and DevOps culture. * Technical leadership, pedagogy and analytical mind. Why join this project? * Remuneration: €45-55K gross annually depending on profile. * Teleworking 2 to 3 days/week. * Structured integration process and support for geographic mobility. * Training and prospects for internal development. * Agile, human and dynamic environment. * Participation and profit-sharing. This position is for you if: You enjoy taking on technical challenges, supporting and inspiring your colleagues, and contributing to a strategic project from start to finish in a structured and caring environment. Join us and make a difference on this innovative project! The recruitment process at Link Consulting: We apply a structured, fast and transparent process: 1. An initial exchange (telephone or by email) to understand your expectations and validate the key elements of the position (mobility, TJM/salary, availability, etc.). 2. An interview (physical or video) to deepen the technical, logistical or contextual aspects linked to the mission. 3. Sending your complete file to the client. 4. An interview with the end customer, if your profile is selected. At Link Consulting, we strive to get our clients to meet with you quickly, to ensure an efficient and responsive process. The process can be adapted according to the specifics of the mission or the client's requirements. We are delighted to welcome employees with interpersonal skills and a certain humility. Your values ​​and your motivation are determining elements. Link Consulting is freedom and choice.</x:v>
      </x:c>
      <x:c r="E156" s="5" t="str">
        <x:v>50000.0</x:v>
      </x:c>
      <x:c r="F156" s="5" t="str">
        <x:v>f2b15a0e-e65a-438a-affb-29b9d50b77d1</x:v>
      </x:c>
      <x:c r="G156" s="7" t="str">
        <x:v>["Agile development", "DevOps", "identify clients' needs", "manage personal professional development", "pedagogy", "provide user documentation", "software architecture models", "think analytically", "web services"]</x:v>
      </x:c>
      <x:c r="H156" s="7" t="str">
        <x:v>["DevOps", "software architecture models"]</x:v>
      </x:c>
      <x:c r="I156" s="7" t="str">
        <x:v>["think analytically"]</x:v>
      </x:c>
      <x:c r="J156" s="7" t="str">
        <x:v>["cloud_devops", "software"]</x:v>
      </x:c>
      <x:c r="K156" s="7" t="str">
        <x:v>["cloud_devops"]</x:v>
      </x:c>
      <x:c r="L156" s="7" t="str">
        <x:v>["software", "cloud_devops"]</x:v>
      </x:c>
      <x:c r="M156" s="7" t="str">
        <x:v>["cloud_devops", "software"]</x:v>
      </x:c>
      <x:c r="N156" s="7" t="str">
        <x:v>["software", "cloud_devops"]</x:v>
      </x:c>
      <x:c r="O156" s="7" t="str">
        <x:v>["esco", "title", "description"]</x:v>
      </x:c>
      <x:c r="P156" s="7" t="str">
        <x:v>["problem_solving"]</x:v>
      </x:c>
      <x:c r="Q156" s="8" t="str">
        <x:v>yes</x:v>
      </x:c>
      <x:c r="R156" s="8" t="str">
        <x:v>yes</x:v>
      </x:c>
      <x:c r="S156" s="8" t="str">
        <x:v>yes</x:v>
      </x:c>
      <x:c r="T156" s="7" t="str">
        <x:v>Reviewed against title, duties, mapped skills and detection sources.</x:v>
      </x:c>
    </x:row>
    <x:row r="157">
      <x:c r="A157" s="5" t="str">
        <x:v>software</x:v>
      </x:c>
      <x:c r="B157" s="5" t="str">
        <x:v>203SXVT</x:v>
      </x:c>
      <x:c r="C157" s="7" t="str">
        <x:v>API Developer Engineer - Backend (M/F)</x:v>
      </x:c>
      <x:c r="D157" s="7" t="str">
        <x:v>Omniciel, a recruitment firm specializing in IT and Digital, is looking for an API Development Engineer - Backend on behalf of one of its clients, head office, position based in Aix en Provence (confidential recruitment) Our client, your future employer Our client, South East Head Office, a company in very strong growth and leader in these markets, brought together in France 1000 employees using the IS, its ecosystem and its value chain leads several hundred external partners to use part of the IS. Finally, its e-commerce sales channel is used by more than 3 million consumers annually. Social and environmental responsibility is in the DNA of your future employer. The position Your role will be vital, the information flows of this company are exponential and strategic. This is a new position, you will report to the Head of Technology - CTO, in a team of 6 passionate developers, you will interact with the rest of the internal IT and digital team of around 50 people. Missions: Design, develop and expose backend APIs - Design and develop robust and secure backend APIs (REST / HTTP) - Define API contracts, data models and exposure rules - Guarantee the consistency, versioning and compatibility of APIs over time - Implement unit and integration tests to make APIs reliable Maintain and evolve backend applications - Maintain backend applications in operational conditions - Analyze, correct and prevent technical incidents and regressions - Progressively refactor the code in order to improve its readability, stability and maintainability - Ensure the controlled decommissioning of obsolete components or applications Optimize reliability and support operation - Optimize the performance and resource consumption of services and APIs - Collaborate with DevOps and project teams to ensure smooth production launches - Document APIs and associated procedures to facilitate their use and maintenance - Participate in technical monitoring and the continuous improvement of maintenance practices The position is highly and quickly scalable according to your profile and your wishes.</x:v>
      </x:c>
      <x:c r="E157" s="5" t="str">
        <x:v>57500.0</x:v>
      </x:c>
      <x:c r="F157" s="5" t="str">
        <x:v>92bb3d8c-8a9f-4cd7-80ec-247bbf173004</x:v>
      </x:c>
      <x:c r="G157" s="7" t="str">
        <x:v>["data models", "digitization", "make strategic business decisions", "manage maintenance operations", "strive for company growth"]</x:v>
      </x:c>
      <x:c r="H157" s="7" t="str">
        <x:v>[]</x:v>
      </x:c>
      <x:c r="I157" s="7" t="str">
        <x:v>[]</x:v>
      </x:c>
      <x:c r="J157" s="7" t="str">
        <x:v>[]</x:v>
      </x:c>
      <x:c r="K157" s="7" t="str">
        <x:v>["software"]</x:v>
      </x:c>
      <x:c r="L157" s="7" t="str">
        <x:v>["cloud_devops"]</x:v>
      </x:c>
      <x:c r="M157" s="7" t="str">
        <x:v>["cloud_devops", "software"]</x:v>
      </x:c>
      <x:c r="N157" s="7" t="str">
        <x:v>["software"]</x:v>
      </x:c>
      <x:c r="O157" s="7" t="str">
        <x:v>["title", "description"]</x:v>
      </x:c>
      <x:c r="P157" s="7" t="str">
        <x:v>[]</x:v>
      </x:c>
      <x:c r="Q157" s="8" t="str">
        <x:v>yes</x:v>
      </x:c>
      <x:c r="R157" s="8" t="str">
        <x:v>yes</x:v>
      </x:c>
      <x:c r="S157" s="8" t="str">
        <x:v>yes</x:v>
      </x:c>
      <x:c r="T157" s="7" t="str">
        <x:v>Reviewed against title, duties, mapped skills and detection sources.</x:v>
      </x:c>
    </x:row>
    <x:row r="158">
      <x:c r="A158" s="5" t="str">
        <x:v>software</x:v>
      </x:c>
      <x:c r="B158" s="5" t="str">
        <x:v>52074688</x:v>
      </x:c>
      <x:c r="C158" s="7" t="str">
        <x:v>Web Developer (M/F)</x:v>
      </x:c>
      <x:c r="D158" s="7" t="str">
        <x:v>Job Description: By applying to this position, you will have the opportunity to join a fast-growing fintech that is building real-time cross-border payments infrastructure for West Africa. They are looking for a Fullstack Developer (70% Back / 30% Front) to strengthen a technical team of 3 people Your missions if you accept them Develop production-level HTTP APIs in Golang.***Set up API integrations with financial partners (fintechs, banks Implement web functionalities with React for clients and internal tools.***Manage end-to-end feature development, from back-end to the infrastructure.***Administrate the databases (Postgres) and ensure the web security of the system.***Work on the ledger system and the optimization engine for pricing FX transactions.***Collaborate closely with the CTO to maintain a simple and efficient architecture Profile description: And you You have a higher degree in computer science or equivalent.***You have at least 6 years of experience in Back-end development, including at least 2 years on Golang in a startup or equivalent environment. scale-up.***You master React for the Front-end part (at least 2 years of cumulative experience You have solid experience in databases (ideally Postgres) and Cloud infrastructures (GCP You are product-oriented, autonomous and capable of managing projects from A to Z.***You appreciate early-stage, demanding and fast environments.</x:v>
      </x:c>
      <x:c r="E158" s="5" t="str">
        <x:v>75000.0</x:v>
      </x:c>
      <x:c r="F158" s="5" t="str">
        <x:v>c40a2919-48a9-40ea-b506-1f34f693496d</x:v>
      </x:c>
      <x:c r="G158" s="7" t="str">
        <x:v>["consult with business clients", "manage several projects"]</x:v>
      </x:c>
      <x:c r="H158" s="7" t="str">
        <x:v>[]</x:v>
      </x:c>
      <x:c r="I158" s="7" t="str">
        <x:v>["consult with business clients"]</x:v>
      </x:c>
      <x:c r="J158" s="7" t="str">
        <x:v>[]</x:v>
      </x:c>
      <x:c r="K158" s="7" t="str">
        <x:v>["software"]</x:v>
      </x:c>
      <x:c r="L158" s="7" t="str">
        <x:v>["software", "cloud_devops"]</x:v>
      </x:c>
      <x:c r="M158" s="7" t="str">
        <x:v>["cloud_devops", "software"]</x:v>
      </x:c>
      <x:c r="N158" s="7" t="str">
        <x:v>["software"]</x:v>
      </x:c>
      <x:c r="O158" s="7" t="str">
        <x:v>["title", "description"]</x:v>
      </x:c>
      <x:c r="P158" s="7" t="str">
        <x:v>["customer_interaction"]</x:v>
      </x:c>
      <x:c r="Q158" s="8" t="str">
        <x:v>yes</x:v>
      </x:c>
      <x:c r="R158" s="8" t="str">
        <x:v>yes</x:v>
      </x:c>
      <x:c r="S158" s="8" t="str">
        <x:v>yes</x:v>
      </x:c>
      <x:c r="T158" s="7" t="str">
        <x:v>Reviewed against title, duties, mapped skills and detection sources.</x:v>
      </x:c>
    </x:row>
    <x:row r="159">
      <x:c r="A159" s="5" t="str">
        <x:v>software</x:v>
      </x:c>
      <x:c r="B159" s="5" t="str">
        <x:v>27915547</x:v>
      </x:c>
      <x:c r="C159" s="7" t="str">
        <x:v>Java Developer M/F</x:v>
      </x:c>
      <x:c r="D159" s="7" t="str">
        <x:v>Viveris is a consulting and engineering group specializing in the management and implementation of projects in the fields of IT and electronics. Engaging with Viveris is the assurance of meeting technical and human challenges while working on innovative projects in a collaborative and supportive environment. Context of the mission: Viveris is recruiting Java Developers M/F to support its clients in several sectors of activity. Examples of projects: - Public sector: development of applications for managing assignment requests in education - Insurance/foresight: overhaul of applications for managing member contracts (retirement, savings, welfare, health) - Finance: development of applications embedded in banking VSEs allowing the verification of the credit card up to invoicing - Environment: development of applications around the "Base Bank": drilling, mining, etc. Responsibilities: - Functional and technical analysis, impact analysis; - Writing functional and technical specifications; - Design, participation in the definition of architecture while respecting the consistency of the IS; - Development and testing of different application modules; - Corrective and evolutionary maintenance; - Assistance to users and interaction with third-party teams (project management, integration). Profile sought: With a Bac+5 education (engineering school or university), you ideally have 2 years of experience in Java development. Technical skills: You master and/or have an appetite for the following technologies: - Languages: Java J2EE - Java frameworks: Spring, Hibernate, - Javascript libraries, - Testing tools (Sonar, JUnit), versioning (SVN, Git) and deployment tools (Maven, Jenkins). Our advantages: - Attractive and progressive remuneration, family mutual with high guarantee; - Restaurant tickets covered at 60%, 100% urban transport ticket reimbursed; - Incentive, participation and co-optation bonuses; - 2 days of teleworking per week; - Continuing training with LinkedIn Learning and our technical communities.</x:v>
      </x:c>
      <x:c r="E159" s="5" t="str">
        <x:v>40000.0</x:v>
      </x:c>
      <x:c r="F159" s="5" t="str">
        <x:v>07e60525-1aad-4099-aaf3-2c7014c92212</x:v>
      </x:c>
      <x:c r="G159" s="7" t="str">
        <x:v>["Apache Maven", "ICT project management", "Java (computer programming)", "JavaScript Framework", "consumer electronics", "interpret electronic design specifications", "manage environmental impact"]</x:v>
      </x:c>
      <x:c r="H159" s="7" t="str">
        <x:v>["Java (computer programming)", "JavaScript Framework"]</x:v>
      </x:c>
      <x:c r="I159" s="7" t="str">
        <x:v>[]</x:v>
      </x:c>
      <x:c r="J159" s="7" t="str">
        <x:v>["software"]</x:v>
      </x:c>
      <x:c r="K159" s="7" t="str">
        <x:v>["software"]</x:v>
      </x:c>
      <x:c r="L159" s="7" t="str">
        <x:v>["software", "cloud_devops"]</x:v>
      </x:c>
      <x:c r="M159" s="7" t="str">
        <x:v>["cloud_devops", "software"]</x:v>
      </x:c>
      <x:c r="N159" s="7" t="str">
        <x:v>["software"]</x:v>
      </x:c>
      <x:c r="O159" s="7" t="str">
        <x:v>["esco", "title", "description"]</x:v>
      </x:c>
      <x:c r="P159" s="7" t="str">
        <x:v>[]</x:v>
      </x:c>
      <x:c r="Q159" s="8" t="str">
        <x:v>yes</x:v>
      </x:c>
      <x:c r="R159" s="8" t="str">
        <x:v>yes</x:v>
      </x:c>
      <x:c r="S159" s="8" t="str">
        <x:v>yes</x:v>
      </x:c>
      <x:c r="T159" s="7" t="str">
        <x:v>Reviewed against title, duties, mapped skills and detection sources.</x:v>
      </x:c>
    </x:row>
    <x:row r="160">
      <x:c r="A160" s="5" t="str">
        <x:v>software</x:v>
      </x:c>
      <x:c r="B160" s="5" t="str">
        <x:v>202NRVY</x:v>
      </x:c>
      <x:c r="C160" s="7" t="str">
        <x:v>QA Engineer (M/F)</x:v>
      </x:c>
      <x:c r="D160" s="7" t="str">
        <x:v>A recognized European player in the field of cybersecurity, our client supports organizations in securing their digital transformation. Its mission: to protect web applications and APIs against daily threats. The company takes a proactive, tailored approach, enabling its clients to build secure digital applications and services by design. Its application protection solutions (Web Application &amp; API Protection) are deployed in various environments: on-premise, cloud, SaaS and containerized. Your missions: Integrated into the Quality team and reporting to the QA Team Leader, you will play a key role in product reliability and performance. In this capacity, you will be required to: - Validate developments and guarantee the quality of integrations - Reproduce, analyze and investigate detected anomalies - Ensure the overall quality of solutions throughout the product life cycle - Contribute to the definition of testing strategies and their implementation - Design, automate and maintain API and graphical interface tests - Administer and develop the QA testing infrastructure (deployment, updates, maintenance) - Develop and improve the internal tools of the QA team - Collaborate closely with the development teams on future functionalities - Conduct continuous technological monitoring in order to stay at the forefront of innovations in the sector Technical environment: JMeter, Python, REST API, Linux, Docker, Squash, GitLab You have a strong technical appetite and are comfortable in complex and evolving environments: - Ability to quickly increase your skills on various technologies - Comfort in a context multi-product and multi-technology - Solid knowledge of testing professions (test types, levels and strategies) - Good command of the Linux environment (system, network, package management) - Knowledge of system administration (virtualization, Docker, networks) - Mastery of at least one programming language: Python, PHP, JavaScript, Java, Golang... - Excellent understanding of the HTTP protocol and REST APIs - Experience with test management tools (Squash, TestLink, etc.) - Practice of at least one API and/or UI automation tool (JMeter, Robot Framework, Selenium...) - Professional English required (read, written and spoken) Training - Bac +5 (engineering school or equivalent training)</x:v>
      </x:c>
      <x:c r="E160" s="5" t="str">
        <x:v>41500.0</x:v>
      </x:c>
      <x:c r="F160" s="5" t="str">
        <x:v>e3229e40-f571-4b26-baca-29edc8fe313e</x:v>
      </x:c>
      <x:c r="G160" s="7" t="str">
        <x:v>["Java (computer programming)", "PHP", "Python (computer programming)", "operating systems", "tools for ICT test automation"]</x:v>
      </x:c>
      <x:c r="H160" s="7" t="str">
        <x:v>["Java (computer programming)", "PHP", "Python (computer programming)"]</x:v>
      </x:c>
      <x:c r="I160" s="7" t="str">
        <x:v>[]</x:v>
      </x:c>
      <x:c r="J160" s="7" t="str">
        <x:v>["data_analysis", "software"]</x:v>
      </x:c>
      <x:c r="K160" s="7" t="str">
        <x:v>[]</x:v>
      </x:c>
      <x:c r="L160" s="7" t="str">
        <x:v>["software", "cloud_devops", "cybersecurity", "networks_systems"]</x:v>
      </x:c>
      <x:c r="M160" s="7" t="str">
        <x:v>["cloud_devops", "cybersecurity", "data_analysis", "networks_systems", "software"]</x:v>
      </x:c>
      <x:c r="N160" s="7" t="str">
        <x:v>["software"]</x:v>
      </x:c>
      <x:c r="O160" s="7" t="str">
        <x:v>["esco", "description"]</x:v>
      </x:c>
      <x:c r="P160" s="7" t="str">
        <x:v>[]</x:v>
      </x:c>
      <x:c r="Q160" s="8" t="str">
        <x:v>yes</x:v>
      </x:c>
      <x:c r="R160" s="8" t="str">
        <x:v>yes</x:v>
      </x:c>
      <x:c r="S160" s="8" t="str">
        <x:v>yes</x:v>
      </x:c>
      <x:c r="T160" s="7" t="str">
        <x:v>Reviewed against title, duties, mapped skills and detection sources.</x:v>
      </x:c>
    </x:row>
    <x:row r="161">
      <x:c r="A161" s="5" t="str">
        <x:v>software</x:v>
      </x:c>
      <x:c r="B161" s="5" t="str">
        <x:v>001762</x:v>
      </x:c>
      <x:c r="C161" s="7" t="str">
        <x:v>C# .NET Developer M/F</x:v>
      </x:c>
      <x:c r="D161" s="7" t="str">
        <x:v>The company supported and the missions: We support a historic player in information technologies, present throughout the entire life cycle of IT solutions, with a strong ambition to reconcile innovation, performance and ecological responsibility. With its 500 employees spread across Europe and Africa, the company stands out as a trusted partner for more than 5,000 customers and partners, offering a comprehensive offering covering the entire life cycle of technologies, from innovation to sustainable solutions. Each year, numerous recruitments strengthen multidisciplinary teams around development, infrastructure, cybersecurity, support and project management, to support growth and innovation projects. Not convinced? Read on! Do you like... - working on concrete projects that improve system performance and simplify users' lives? - evolve in an environment where tech is a lever for efficiency and impact? - a culture that combines rigor, quality of service and ecological commitment? - collaborate with diverse teams? Still there? Here are the job details! Reporting to the Development and Application Support Manager and within a team of 10 M/F employees, you ensure the development of web applications corresponding to the functional specifications, ensuring its maintenance (and its developments if necessary) On a daily basis, you: - analyze user needs - write technical specifications - study and propose the best technical solutions to meet functional needs - ensure development in C# .NET - ensure the testing phases of the solutions (as well as their monitoring) - write the associated technical documentation to developments Working conditions / In practice 2 days of teleworking per week - various benefits: participation, restaurant vouchers, CSE, gift/holiday vouchers, etc.) - remuneration depending on the level of experience: €35/45K Profile: What you bring Hard skills - successful first experience in a similar position (open to junior profiles!) Soft skills - autonomous - rigorous - strength of proposal - sense of service The process * Application processing and appointment with Pierre Seghier * 2 to 3 Customer-side meeting</x:v>
      </x:c>
      <x:c r="E161" s="5" t="str">
        <x:v>40000.0</x:v>
      </x:c>
      <x:c r="F161" s="5" t="str">
        <x:v>2ed56c3f-61d6-4f7e-9ef8-8849eb102e4c</x:v>
      </x:c>
      <x:c r="G161" s="7" t="str">
        <x:v>["C#", "assess quality of services", "cyber security", "interact with users to gather requirements", "manage maintenance operations", "perform project management", "provide technical documentation", "sustainable technologies"]</x:v>
      </x:c>
      <x:c r="H161" s="7" t="str">
        <x:v>["C#", "cyber security"]</x:v>
      </x:c>
      <x:c r="I161" s="7" t="str">
        <x:v>[]</x:v>
      </x:c>
      <x:c r="J161" s="7" t="str">
        <x:v>["cybersecurity", "software"]</x:v>
      </x:c>
      <x:c r="K161" s="7" t="str">
        <x:v>[]</x:v>
      </x:c>
      <x:c r="L161" s="7" t="str">
        <x:v>["software", "cybersecurity"]</x:v>
      </x:c>
      <x:c r="M161" s="7" t="str">
        <x:v>["cybersecurity", "software"]</x:v>
      </x:c>
      <x:c r="N161" s="7" t="str">
        <x:v>["software", "cybersecurity"]</x:v>
      </x:c>
      <x:c r="O161" s="7" t="str">
        <x:v>["esco", "description"]</x:v>
      </x:c>
      <x:c r="P161" s="7" t="str">
        <x:v>[]</x:v>
      </x:c>
      <x:c r="Q161" s="8" t="str">
        <x:v>yes</x:v>
      </x:c>
      <x:c r="R161" s="8" t="str">
        <x:v>yes</x:v>
      </x:c>
      <x:c r="S161" s="8" t="str">
        <x:v>yes</x:v>
      </x:c>
      <x:c r="T161" s="7" t="str">
        <x:v>Reviewed against title, duties, mapped skills and detection sources.</x:v>
      </x:c>
    </x:row>
    <x:row r="162">
      <x:c r="A162" s="5" t="str">
        <x:v>software</x:v>
      </x:c>
      <x:c r="B162" s="5" t="str">
        <x:v>27672132</x:v>
      </x:c>
      <x:c r="C162" s="7" t="str">
        <x:v>DevOps Integrator - Integrator - Energy M/F</x:v>
      </x:c>
      <x:c r="D162" s="7" t="str">
        <x:v>Viveris is a consulting and engineering group specializing in the management and implementation of projects in the fields of IT and electronics. Engaging with Viveris is the assurance of meeting technical and human challenges while working on innovative projects in a collaborative and supportive environment. Mission context: Viveris supports its clients in the design and development of innovative technological solutions in the energy and embedded systems sector (source stations, supervision, control-command, connected solutions, etc.). In this context, we are looking for a DevOps Engineer / Software Integrator who will work on the industrialization, continuous integration and deployment of software developed within the R&amp;D team. You will report directly to the R&amp;D Manager, this dual-hatted position will allow you to work at the crossroads of development, system integration and software infrastructure management. Responsibilities: - Design, implement and maintain CI/CD pipelines (GitLab CI, Jenkins, etc.) to automate the construction, testing and deployment of applications; - Participate in the integration and validation of embedded software on target platforms; - Manage build and integration environments (Docker, containerization, virtualization, cross-compilation); - Contribute to improving software quality (automatic testing, coverage, security, versioning); - Collaborate with development and testing teams to optimize product performance and stability; - Participate in the implementation of systems supervision and deployment tools; - Write technical documentation and contribute to the capitalization of DevOps best practices. Profile sought: Graduate with higher education in computer science, embedded systems or software engineering, you have at least 3 to 5 years of experience in an integrator, systems engineer or DevOps position, ideally in an industrial or embedded environment. Technical skills: - Mastery of one or more CI/CD tools (GitLab CI, Jenkins, etc.); - Solid knowledge of Linux environments (Bash scripting, automation, packaging); - Experience in Docker, virtualization, and configuration management; - Knowledge of Git, Python, CMake, Makefile, C/C++; - Familiarity with deployment on embedded or distributed systems (Yocto, ARM, RTOS, etc.); - Understanding of cybersecurity and software reliability issues. Our advantages: - Attractive and progressive remuneration; - Family mutual insurance with high guarantee; - Restaurant tickets covered at 60%; - 100% urban transport ticket reimbursed; - Incentive, participation and co-optation bonuses; - 2 days of teleworking per week; - Continuing training with LinkedIn Learning and our technical communities.</x:v>
      </x:c>
      <x:c r="E162" s="5" t="str">
        <x:v>42500.0</x:v>
      </x:c>
      <x:c r="F162" s="5" t="str">
        <x:v>106f79e4-6264-45f1-9e7a-297435cd684b</x:v>
      </x:c>
      <x:c r="G162" s="7" t="str">
        <x:v>["C++", "DevOps", "ICT project management", "Jenkins (tools for software configuration management)", "Python (computer programming)", "automation technology", "consumer electronics", "coordinate security", "cyber security", "embedded systems", "integrate system components", "manage ICT virtualisation environments", "project configuration management", "provide technical documentation", "solution deployment", "supervision of persons"]</x:v>
      </x:c>
      <x:c r="H162" s="7" t="str">
        <x:v>["C++", "DevOps", "Jenkins (tools for software configuration management)", "Python (computer programming)", "cyber security"]</x:v>
      </x:c>
      <x:c r="I162" s="7" t="str">
        <x:v>[]</x:v>
      </x:c>
      <x:c r="J162" s="7" t="str">
        <x:v>["cloud_devops", "cybersecurity", "data_analysis", "software"]</x:v>
      </x:c>
      <x:c r="K162" s="7" t="str">
        <x:v>["cloud_devops"]</x:v>
      </x:c>
      <x:c r="L162" s="7" t="str">
        <x:v>["software", "cloud_devops", "cybersecurity", "networks_systems"]</x:v>
      </x:c>
      <x:c r="M162" s="7" t="str">
        <x:v>["cloud_devops", "cybersecurity", "data_analysis", "networks_systems", "software"]</x:v>
      </x:c>
      <x:c r="N162" s="7" t="str">
        <x:v>["software", "cloud_devops", "cybersecurity"]</x:v>
      </x:c>
      <x:c r="O162" s="7" t="str">
        <x:v>["esco", "title", "description"]</x:v>
      </x:c>
      <x:c r="P162" s="7" t="str">
        <x:v>[]</x:v>
      </x:c>
      <x:c r="Q162" s="8" t="str">
        <x:v>yes</x:v>
      </x:c>
      <x:c r="R162" s="8" t="str">
        <x:v>yes</x:v>
      </x:c>
      <x:c r="S162" s="8" t="str">
        <x:v>yes</x:v>
      </x:c>
      <x:c r="T162" s="7" t="str">
        <x:v>Reviewed against title, duties, mapped skills and detection sources.</x:v>
      </x:c>
    </x:row>
    <x:row r="163">
      <x:c r="A163" s="5" t="str">
        <x:v>software</x:v>
      </x:c>
      <x:c r="B163" s="5" t="str">
        <x:v>9b6njy7zq0</x:v>
      </x:c>
      <x:c r="C163" s="7" t="str">
        <x:v>Industrial Software Development Manager M/F</x:v>
      </x:c>
      <x:c r="D163" s="7" t="str">
        <x:v>RESPONSIBILITIES: Our client, a recognized industrial player for over 20 years, specializing in the design and manufacture of high-precision printing machines for customers around the world (Germany, England, Australia, etc.), is looking for an Industrial Software Development Manager M/F on a permanent basis in Massy (91). The company controls the entire life cycle of its products: electronic research and development, mechanical design, embedded software development, installation and after-sales maintenance. Based in Massy (91), it brings together teams of passionate experts on a single site, working together to design innovative and efficient technological solutions. As Head of the Software Department, you will play a key role in defining and implementing the technical strategy. You will supervise a team of software engineers and ensure coordination with other departments (mechanics, electronics, maintenance). You will actively contribute to building the department's technical vision and the company's strategic roadmap. Your missions: 1. Design &amp; optimization • Participate in the definition and evolution of software architectures (C++, embedded systems). • Guarantee compliance with best development practices and quality standards. • Drive the infrastructure developments necessary to support innovation and process efficiency. 2. Team management • Supervise and support a team of around 12 software engineers. • Organize, coordinate and prioritize the daily activities of the department. • Foster a collaborative, motivating work environment conducive to innovation. 3. Project management • Manage the software project portfolio: planning, resource allocation, progress monitoring and risk management. • Guarantee compliance with quality, deadlines and cost objectives. • Monitor performance indicators and implement the necessary corrective actions. 4. Pre-project &amp; customer relations • Participate in the pre-sales and technical framing phases. • Ensure the role of interface between customers and internal teams, from design to installation of solutions. • Make occasional international trips (low frequency). PROFILE WANTED: Profile sought: • Engineering training or equivalent in IT, electronics or embedded systems. • Proven experience in industrial software development and technical project management (C++, complex systems). • First successful experience in team management in a technical environment. • Mastery of technical English (exchanges with foreign clients and partners). • Team spirit, rigor, autonomy and assertive leadership. • Curiosity, adaptability and a marked taste for innovation. Position details: • A strategic position within a human-sized industrial company, recognized internationally. • A complete technical environment: mechanics, electronics, embedded software. • An experienced and passionate team. • Concrete and visible projects, deployed with clients around the world. • An easily accessible site. • On-site position (no teleworking) promoting collaboration and operational proximity. • Position to be filled as soon as possible. • Salary expectation according to profile. • Permanent position directly with the client.</x:v>
      </x:c>
      <x:c r="E163" s="5" t="str">
        <x:v>62500.0</x:v>
      </x:c>
      <x:c r="F163" s="5" t="str">
        <x:v>07e60525-1aad-4099-aaf3-2c7014c92212</x:v>
      </x:c>
      <x:c r="G163" s="7" t="str">
        <x:v>["adapt to change", "assertiveness", "consumer electronics", "define technology strategy", "demonstrate curiosity", "embedded systems", "ensure compliance with company regulations", "industrial software", "innovation processes", "internal risk management policy", "make strategic business decisions", "manage a team", "meet deadlines", "motivate employees", "organise performance space", "oversee development of software", "patient autonomy", "product life-cycle", "project management", "quality standards", "software architecture models", "solution deployment", "work with pre-production team"]</x:v>
      </x:c>
      <x:c r="H163" s="7" t="str">
        <x:v>["software architecture models"]</x:v>
      </x:c>
      <x:c r="I163" s="7" t="str">
        <x:v>["adapt to change", "demonstrate curiosity", "innovation processes", "manage a team", "meet deadlines"]</x:v>
      </x:c>
      <x:c r="J163" s="7" t="str">
        <x:v>["software"]</x:v>
      </x:c>
      <x:c r="K163" s="7" t="str">
        <x:v>[]</x:v>
      </x:c>
      <x:c r="L163" s="7" t="str">
        <x:v>["software"]</x:v>
      </x:c>
      <x:c r="M163" s="7" t="str">
        <x:v>["software"]</x:v>
      </x:c>
      <x:c r="N163" s="7" t="str">
        <x:v>["software"]</x:v>
      </x:c>
      <x:c r="O163" s="7" t="str">
        <x:v>["esco", "description"]</x:v>
      </x:c>
      <x:c r="P163" s="7" t="str">
        <x:v>["adaptability", "creativity", "initiative_responsibility", "leadership"]</x:v>
      </x:c>
      <x:c r="Q163" s="8" t="str">
        <x:v>yes</x:v>
      </x:c>
      <x:c r="R163" s="8" t="str">
        <x:v>yes</x:v>
      </x:c>
      <x:c r="S163" s="8" t="str">
        <x:v>yes</x:v>
      </x:c>
      <x:c r="T163" s="7" t="str">
        <x:v>Reviewed against title, duties, mapped skills and detection sources.</x:v>
      </x:c>
    </x:row>
    <x:row r="164">
      <x:c r="A164" s="5" t="str">
        <x:v>software</x:v>
      </x:c>
      <x:c r="B164" s="5" t="str">
        <x:v>204LWJF</x:v>
      </x:c>
      <x:c r="C164" s="7" t="str">
        <x:v>Developpeur territorial (H/F)</x:v>
      </x:c>
      <x:c r="D164" s="7" t="str">
        <x:v>THE POSITION: The Land Prospector carries out research with our mapping service and land security for our new wind, photovoltaic and hydroelectric projects. He/she manages the processes, from identifying potential to validating the feasibility of the project in close collaboration with the development department. Committed to communities, elected officials from the wider territory, farm owners and operators, you deliver a project ready to be developed by supporting the dynamics of the territory. With the support of our design office (GIS, cartographer, remote sensing, geomatics) and development teams, the land prospector carries out the following missions: - Validate areas and territories with real development potential with the support of the 3 directions of wind/photovoltaic/hydroelectric development - Gather environmental, economic, town planning, technical (connections) issues - Identify the owners of commercial, industrial buildings, of production assets already in operation, land owners, local players in the construction and real estate development sector - Ensure contact with communities, local players in the territory, land owners, players in the construction and real estate development sector - Negotiate and obtain agreements in principle with elected officials (deliberations and conventions), engage owners and operators on land agreements. - Support actions in the region with development directors, their teams and support functions, by relaying information from your network across the territory - Initialize the documentary base to secure the project and invest in its development, in conjunction with the office manager - Develop a network of partners (industrialists, business providers, real estate agencies, etc.) to access new development opportunities in renewable energies Prospecting requires great mobility over a geographical area controlled in consultation with the development direction. It has great autonomy within the framework of defined objectives and under the responsibility of the Development departments. within an expert team for 23 years in the development, construction and operation of green energy production plants. We inject 100Gwh/year and what if you participated? With commercial training, generalized, real estate, land, business manager from the sectors of ENR, (notarial studies, promoters, general companies), construction (surveyor's office), Agricultural (Safer) you have a perfect mastery of commercial techniques, you have successful experience in prospecting, trade, real estate development or land dedicated to the energy sector. You have a good command of IT tools: Office pack, Internet, task manager and schedule management. Essential qualities: Dynamic, convincing, good ability to communicate and convince, interpersonal skills, good listening skills, team spirit, positive and motivated attitude, curiosity, adaptability, autonomy. Your sense of negotiation and your ability to build solid and strong links with your prospects and customers are assets to successfully carry out your missions. You know the world of communities, the agricultural world, and that of construction. You have a basic technical culture in construction and electricity. You have a real interest in the development of renewable energies and know their principles. Positions open in Montpellier, Lyon. If you match this profile, don't wait! send your CV!</x:v>
      </x:c>
      <x:c r="E164" s="5" t="str">
        <x:v>52000.0</x:v>
      </x:c>
      <x:c r="F164" s="5" t="str">
        <x:v>b9711647-463f-4991-a858-d5de66ff2f83</x:v>
      </x:c>
      <x:c r="G164" s="7" t="str">
        <x:v>["adapt to change", "cartography", "conduct surveying activities for construction purposes", "demonstrate curiosity", "geomatics", "hydroelectricity", "manage time", "negotiate compromises", "patient autonomy", "photovoltaic systems", "remote sensing techniques"]</x:v>
      </x:c>
      <x:c r="H164" s="7" t="str">
        <x:v>[]</x:v>
      </x:c>
      <x:c r="I164" s="7" t="str">
        <x:v>["adapt to change", "demonstrate curiosity", "negotiate compromises"]</x:v>
      </x:c>
      <x:c r="J164" s="7" t="str">
        <x:v>[]</x:v>
      </x:c>
      <x:c r="K164" s="7" t="str">
        <x:v>["software"]</x:v>
      </x:c>
      <x:c r="L164" s="7" t="str">
        <x:v>[]</x:v>
      </x:c>
      <x:c r="M164" s="7" t="str">
        <x:v>["software"]</x:v>
      </x:c>
      <x:c r="N164" s="7" t="str">
        <x:v>["software"]</x:v>
      </x:c>
      <x:c r="O164" s="7" t="str">
        <x:v>["title"]</x:v>
      </x:c>
      <x:c r="P164" s="7" t="str">
        <x:v>["adaptability", "communication", "creativity"]</x:v>
      </x:c>
      <x:c r="Q164" s="8" t="str">
        <x:v>no</x:v>
      </x:c>
      <x:c r="R164" s="8" t="str">
        <x:v>no</x:v>
      </x:c>
      <x:c r="S164" s="8" t="str">
        <x:v>yes</x:v>
      </x:c>
      <x:c r="T164" s="7" t="str">
        <x:v>False positive: το γαλλικό développeur territorial σημαίνει land/territory development, όχι software developer.</x:v>
      </x:c>
    </x:row>
    <x:row r="165">
      <x:c r="A165" s="5" t="str">
        <x:v>software</x:v>
      </x:c>
      <x:c r="B165" s="5" t="str">
        <x:v>27783029</x:v>
      </x:c>
      <x:c r="C165" s="7" t="str">
        <x:v>Software development engineer - TS Node.js M/F</x:v>
      </x:c>
      <x:c r="D165" s="7" t="str">
        <x:v>Viveris is a consulting and engineering group specializing in the management and implementation of projects in the fields of IT and electronics. Engaging with Viveris is the assurance of meeting technical and human challenges while working on innovative projects in a collaborative and supportive environment. Context of the mission: Viveris supports its clients in the design and manufacture of high-tech equipment for the energy sector. In this context, we are looking for a Software Development Engineer to support our client in the development of energy transport control and monitoring solutions. You are part of a developer team of around ten people, and work in collaboration with teams based internationally. The team operates in Agile mode. Responsibilities: - Develop and maintain applications; - Participate in defining the technical architecture of projects; - Perform tests and debug applications to guarantee their performance and security; - Participate in code reviews and share best practices with the team. Profile sought: - Graduate of Bac +5 training in software development, you have at least 3 years of experience in software development. - You have a professional level of English, allowing you to work easily in an English-speaking environment. Technical skills: - Mastery of the TypeScript language; - Mastery of the Node.js platform; - Knowledge of DevOps Docker and Kubernetes tools. Our advantages: - Attractive and progressive remuneration; - Family mutual insurance with high guarantee; - Restaurant tickets covered at 60%; - 100% urban transport ticket reimbursed; - Incentive, participation and co-optation bonuses; - 2 days of teleworking per week; - Continuing training with LinkedIn Learning and our technical communities.</x:v>
      </x:c>
      <x:c r="E165" s="5" t="str">
        <x:v>45000.0</x:v>
      </x:c>
      <x:c r="F165" s="5" t="str">
        <x:v>07e60525-1aad-4099-aaf3-2c7014c92212</x:v>
      </x:c>
      <x:c r="G165" s="7" t="str">
        <x:v>["ICT project management", "TypeScript", "consumer electronics", "coordinate security"]</x:v>
      </x:c>
      <x:c r="H165" s="7" t="str">
        <x:v>["TypeScript"]</x:v>
      </x:c>
      <x:c r="I165" s="7" t="str">
        <x:v>[]</x:v>
      </x:c>
      <x:c r="J165" s="7" t="str">
        <x:v>["software"]</x:v>
      </x:c>
      <x:c r="K165" s="7" t="str">
        <x:v>[]</x:v>
      </x:c>
      <x:c r="L165" s="7" t="str">
        <x:v>["software", "cloud_devops"]</x:v>
      </x:c>
      <x:c r="M165" s="7" t="str">
        <x:v>["cloud_devops", "software"]</x:v>
      </x:c>
      <x:c r="N165" s="7" t="str">
        <x:v>["software"]</x:v>
      </x:c>
      <x:c r="O165" s="7" t="str">
        <x:v>["esco", "description"]</x:v>
      </x:c>
      <x:c r="P165" s="7" t="str">
        <x:v>[]</x:v>
      </x:c>
      <x:c r="Q165" s="8" t="str">
        <x:v>yes</x:v>
      </x:c>
      <x:c r="R165" s="8" t="str">
        <x:v>yes</x:v>
      </x:c>
      <x:c r="S165" s="8" t="str">
        <x:v>yes</x:v>
      </x:c>
      <x:c r="T165" s="7" t="str">
        <x:v>Reviewed against title, duties, mapped skills and detection sources.</x:v>
      </x:c>
    </x:row>
    <x:row r="166">
      <x:c r="A166" s="5" t="str">
        <x:v>software</x:v>
      </x:c>
      <x:c r="B166" s="5" t="str">
        <x:v>52000568</x:v>
      </x:c>
      <x:c r="C166" s="7" t="str">
        <x:v>Agent de Back Office International H/F</x:v>
      </x:c>
      <x:c r="D166" s="7" t="str">
        <x:v>POSITION: International Back Office Agent M/F DESCRIPTION: Manpower GD PARIS BANQUE is looking for an International Back Office Agent (M/F) for its client Main missions of a Back Office Reconciliation agent: 1/Management of Nostri accounts includes: - Monitoring and control of operations impacting accounts opened with our correspondents - Management of accounting balances - Accounting and recording of fees/invoices and interest - Analysis and processing of messages received from correspondents - Management of requests by telephone, Swift or email - Management of payments in COBALT 2/Management of banking correspondence fees claimed by third-party banks includes: - Processing and payment of MT191s received daily - Processing of monthly invoices - Management of complaints linked to the activity of third-party bank fees Responsibilities: - Process daily operations in compliance with the rules, procedures and the Code of Conduct - Master all the risks linked to the various activities of the service - Participate in the fight against fraud and money laundering - Respect the rules of life linked to the Back Office - Contribute to the detection and resolution of incidents - Inform the hierarchy of the difficulties encountered and be able to propose an adapted solution - Participate in the training of new arrivals - Participate in quality actions and the implementation of new procedures and good practices Skills: - Autonomy - Organizational skills - Rigor, Responsiveness, Sense risk - Team spirit - Good interpersonal skills - Expertise in International Payment Methods, Correspondent Banking and Cash Clearing - Expertise in managing Nostri accounts - Mastery of English As part of its diversity policy, Manpower studies, with equal skills, all applications including those from people with disabilities Start date: As soon as possible Duration: 3 months renewable PROFILE:</x:v>
      </x:c>
      <x:c r="E166" s="5" t="str">
        <x:v>30000.0</x:v>
      </x:c>
      <x:c r="F166" s="5" t="str">
        <x:v>b2e81332-0972-4e0f-9a4d-1d15c9c9513b</x:v>
      </x:c>
      <x:c r="G166" s="7" t="str">
        <x:v>["Swift (computer programming)", "accounting"]</x:v>
      </x:c>
      <x:c r="H166" s="7" t="str">
        <x:v>["Swift (computer programming)"]</x:v>
      </x:c>
      <x:c r="I166" s="7" t="str">
        <x:v>[]</x:v>
      </x:c>
      <x:c r="J166" s="7" t="str">
        <x:v>["software"]</x:v>
      </x:c>
      <x:c r="K166" s="7" t="str">
        <x:v>[]</x:v>
      </x:c>
      <x:c r="L166" s="7" t="str">
        <x:v>["software"]</x:v>
      </x:c>
      <x:c r="M166" s="7" t="str">
        <x:v>["software"]</x:v>
      </x:c>
      <x:c r="N166" s="7" t="str">
        <x:v>["software"]</x:v>
      </x:c>
      <x:c r="O166" s="7" t="str">
        <x:v>["esco", "description"]</x:v>
      </x:c>
      <x:c r="P166" s="7" t="str">
        <x:v>[]</x:v>
      </x:c>
      <x:c r="Q166" s="8" t="str">
        <x:v>no</x:v>
      </x:c>
      <x:c r="R166" s="8" t="str">
        <x:v>no</x:v>
      </x:c>
      <x:c r="S166" s="8" t="str">
        <x:v>yes</x:v>
      </x:c>
      <x:c r="T166" s="7" t="str">
        <x:v>False positive: διοικητικός international back-office agent, όχι software role.</x:v>
      </x:c>
    </x:row>
    <x:row r="167">
      <x:c r="A167" s="5" t="str">
        <x:v>software</x:v>
      </x:c>
      <x:c r="B167" s="5" t="str">
        <x:v>27800369</x:v>
      </x:c>
      <x:c r="C167" s="7" t="str">
        <x:v>Front End Flutter Developer (M/F) on permanent contract</x:v>
      </x:c>
      <x:c r="D167" s="7" t="str">
        <x:v>KALIXENS RH, recruitment firm - Human, local, responsive: your career starts here. KALIXENS RH is looking for a Full Stack Developer (M/F) on a permanent contract for its client, a company specializing in textiles. Reporting to the New Technologies Project Manager, your main mission will be to design, develop and ensure the maintenance of an application scope. You will work with two departments. You will be assigned 50% to an industrial project carried out in collaboration with the R&amp;D department, aimed at the design and production of new products. The remaining 50% will be devoted to missions within the Digital Center, on web-oriented application development projects, intended for customers and internal services. Fluency in English is essential for this position. You will: - Analyze functional needs in order to transform them into detailed technical specifications and design solutions based on a modular and scalable architecture - Develop new functionalities and evolve existing applications while ensuring their maintenance - Support users by providing technical and functional support - Continuously improve development practices and contribute to the quality, performance and reliability of the code - Write and update the technical and functional documentation of applications - Collaborate closely with team members to to achieve project objectives If this position suits you, do not hesitate to send your CV without further delay to Solène, Violette, Jody and Marie Training(s): Holder of Bac + 2 to Bac + 5 level training in IT, specialized in development. Experience(s): You have 2 to 5 years of experience in a similar position, ideally in the field of IT development. Know-how: - Proficiency in professional English (read, written and spoken) - Excellent knowledge of web programming, particularly with Symfony, PHP frameworks, Springboot, Vue.js, and Angular - Strong project management skills Soft skills: - You are proactive and take initiatives - You are autonomous and rigorous - You demonstrate adaptability</x:v>
      </x:c>
      <x:c r="E167" s="5" t="str">
        <x:v>37500.0</x:v>
      </x:c>
      <x:c r="F167" s="5" t="str">
        <x:v>c40a2919-48a9-40ea-b506-1f34f693496d</x:v>
      </x:c>
      <x:c r="G167" s="7" t="str">
        <x:v>["communicate with customers", "develop new products", "interpret electronic design specifications", "show initiative", "textile industry"]</x:v>
      </x:c>
      <x:c r="H167" s="7" t="str">
        <x:v>[]</x:v>
      </x:c>
      <x:c r="I167" s="7" t="str">
        <x:v>["communicate with customers", "show initiative"]</x:v>
      </x:c>
      <x:c r="J167" s="7" t="str">
        <x:v>[]</x:v>
      </x:c>
      <x:c r="K167" s="7" t="str">
        <x:v>["software"]</x:v>
      </x:c>
      <x:c r="L167" s="7" t="str">
        <x:v>["software"]</x:v>
      </x:c>
      <x:c r="M167" s="7" t="str">
        <x:v>["software"]</x:v>
      </x:c>
      <x:c r="N167" s="7" t="str">
        <x:v>["software"]</x:v>
      </x:c>
      <x:c r="O167" s="7" t="str">
        <x:v>["title", "description"]</x:v>
      </x:c>
      <x:c r="P167" s="7" t="str">
        <x:v>["communication", "customer_interaction", "initiative_responsibility"]</x:v>
      </x:c>
      <x:c r="Q167" s="8" t="str">
        <x:v>yes</x:v>
      </x:c>
      <x:c r="R167" s="8" t="str">
        <x:v>yes</x:v>
      </x:c>
      <x:c r="S167" s="8" t="str">
        <x:v>yes</x:v>
      </x:c>
      <x:c r="T167" s="7" t="str">
        <x:v>Reviewed against title, duties, mapped skills and detection sources.</x:v>
      </x:c>
    </x:row>
    <x:row r="168">
      <x:c r="A168" s="5" t="str">
        <x:v>software</x:v>
      </x:c>
      <x:c r="B168" s="5" t="str">
        <x:v>7318802</x:v>
      </x:c>
      <x:c r="C168" s="7" t="str">
        <x:v>Angular Frontend Developer (F/M)</x:v>
      </x:c>
      <x:c r="D168" s="7" t="str">
        <x:v>Company Joining Alpes Controls means being part of a company of more than 1,000 employees, who work daily to satisfy their customers in the management of human, environmental and technical risks. As a control body, we are spread across more than 65 agencies in France and operate in 3 areas of activity: Construction and Operation, Training and Organic Certification. A family business with an innovative social project, we have the concept of a non-violent economy at heart. By joining the company, you enrich the company with your many skills, while helping to maintain and promote our vision of the profession. That is to say carrying out missions with real social utility and carrying out quality work. Position Within the Alpes Controles IT department, made up of 30 people, you will be attached to the Engineering team to participate in the modernization of our internal tools. Within this team of 6 people including a manager, you will take charge of the technical missions around the Front Angular part which will be entrusted to you. As such, your activities will mainly be as follows: * Ensure the maintenance and evolution of existing Angular applications or components, * Manage version upgrades and associated recommendations * Design and develop new modular solutions around Angular to support the modernization of existing tools, * Propose new innovative technical solutions to meet our needs in conjunction with our AI or digital team, * Write technical documentation and support the increase in skills of the teams on Angular, * Disseminate the good ones Angular development practices to the entire development department, * Implement automated tests and guarantee the quality of Angular developments * Carry out regular monitoring of technologies around Angular and Front. * Promote the use of AI in this area to the rest of the team. Please note that this position can be based in Albertville, Chambéry, Lyon, Bourgoin, Grenoble. Profile You have a BAC+3 to BAC+5 training in IT and have significant experience (3 years or more) in Frontend Web development, particularly on Angular. You have a good knowledge of the modern Angular ecosystem (v17+): * Mastery of TypeScript, HTML5, CSS3 / SCSS * Standalone Components, * Signals and responsiveness management, * Advanced RxJS, * State management with NgRx or equivalent stores * Routing optimization and lazy loading, * Angular CLI, Angular DevTools, * Good architecture and performance practices. You also have experience in one or more of its fields: * The design of ergonomic interfaces using Figma models, * The modernization of existing applications, * The implementation of automated tests (Jest, Cypress), * The use of modern tools for development (Junie, Jetbrain AI, PHP Storm, Claude). ### Why join us? Because you want to join a family business in full development (8 agency openings in France over the last 3 years) and with an innovative social project (absence of financial pressure, personal/professional life balance with 22.5 days of RTT,...). Our business project based on support, quality, environmental commitment and support for innovation; is available both to our customers and to our employees. Want to join us? Apply!</x:v>
      </x:c>
      <x:c r="E168" s="5" t="str">
        <x:v>38500.0</x:v>
      </x:c>
      <x:c r="F168" s="5" t="str">
        <x:v>57af9090-55b4-4911-b2d0-86db01c00b02</x:v>
      </x:c>
      <x:c r="G168" s="7" t="str">
        <x:v>["Angular", "TypeScript", "innovation processes", "plan maintenance activities", "provide technical documentation"]</x:v>
      </x:c>
      <x:c r="H168" s="7" t="str">
        <x:v>["Angular", "TypeScript"]</x:v>
      </x:c>
      <x:c r="I168" s="7" t="str">
        <x:v>["innovation processes"]</x:v>
      </x:c>
      <x:c r="J168" s="7" t="str">
        <x:v>["software"]</x:v>
      </x:c>
      <x:c r="K168" s="7" t="str">
        <x:v>["software"]</x:v>
      </x:c>
      <x:c r="L168" s="7" t="str">
        <x:v>["software"]</x:v>
      </x:c>
      <x:c r="M168" s="7" t="str">
        <x:v>["software"]</x:v>
      </x:c>
      <x:c r="N168" s="7" t="str">
        <x:v>["software"]</x:v>
      </x:c>
      <x:c r="O168" s="7" t="str">
        <x:v>["esco", "title", "description"]</x:v>
      </x:c>
      <x:c r="P168" s="7" t="str">
        <x:v>["creativity"]</x:v>
      </x:c>
      <x:c r="Q168" s="8" t="str">
        <x:v>yes</x:v>
      </x:c>
      <x:c r="R168" s="8" t="str">
        <x:v>yes</x:v>
      </x:c>
      <x:c r="S168" s="8" t="str">
        <x:v>yes</x:v>
      </x:c>
      <x:c r="T168" s="7" t="str">
        <x:v>Reviewed against title, duties, mapped skills and detection sources.</x:v>
      </x:c>
    </x:row>
    <x:row r="169">
      <x:c r="A169" s="5" t="str">
        <x:v>software</x:v>
      </x:c>
      <x:c r="B169" s="5" t="str">
        <x:v>27855525</x:v>
      </x:c>
      <x:c r="C169" s="7" t="str">
        <x:v>Experienced AS400 Developer F/M</x:v>
      </x:c>
      <x:c r="D169" s="7" t="str">
        <x:v>FNAC DARTY after-sales service is a rapidly developing activity with the aim of accelerating the group's transformation towards the challenges of circular economy and service. Several IS transformation projects must be carried out in the coming years to support this growth. In this context, we are recruiting an experienced AS400, COBOL &amp; PHP Developer (F/M). This mission is part of a strategic approach aimed at modernizing the group's application ecosystem and reducing dependence on historical mainframe technologies. Main missions: This position combines project and maintenance in operational conditions of the AS400 application. Under the responsibility of a Lead Tech, you will join a team of 10 developers and will play a key role in the modernization of the IS and the gradual decommissioning of the mainframe. You will interact with MOA, MOE, operations and external partners. Your missions: - Analyze the existing AS400, identify the modules to migrate or replace. - Document business processes and application flows to facilitate recovery. - Support data migration and offer reliable and secure technical solutions. - Ensure communication with stakeholders throughout the project. Responsibilities: - Adapt and maintain the AS400 application. - Optimize DB2/400 and SQL databases. - Develop and integrate interfaces (API, EDI, file transfers). - Collaborate with front-end and business teams to guarantee the consistency of solutions. - Ensure code quality via unit tests and continuous integration. - Work on IBM i and Linux with native tools (CLP, QM QUERY, MQ). - Identify and resolve performance and security issues. - Write technical documentation and share best practices. Required skills: - AS400 / IBM i: Complete mastery of the environment, commands and native tools. - COBOL, CLP, QM QUERY, MQ: Proven experience in development and maintenance. - Databases: DB2/400 and SQL/400 expertise (design, optimization). - PHP: Development and maintenance (versions 5 to 8). - Interfaces: API, EDI, file transfers, REST, GraphQL. - Tests &amp; CI/CD: Writing unit tests and continuous integration. - Architecture: Good understanding of AS400 architectures, modernization issues and design patterns. Profile sought - Bac+5 in computer science, 5 to 10 years of AS400/COBOL experience. PHP skills, ideally in a migration context. - Autonomy, good interpersonal skills, experience in complex environments with a high volume of data. Our advantages - Leave: 6 weeks + 11 RTT + special leave (100% paternity, sick children). - Teleworking: 1 day/week + 1 flying day/month. Remuneration &amp; savings: Holiday bonus, profit-sharing, participation, PEG, PERO. - CSE: Holiday/Christmas vouchers, ticketing, travel, Fnac/Darty reductions, sporting activities. - Catering &amp; transport: Restaurant tickets (EUR 10.50 covered at 60%), company restaurant, Navigo reimbursed at 5/7. - Social protection: Strengthened mutual insurance and welfare for you and your family.</x:v>
      </x:c>
      <x:c r="E169" s="5" t="str">
        <x:v>55000.0</x:v>
      </x:c>
      <x:c r="F169" s="5" t="str">
        <x:v>2ed56c3f-61d6-4f7e-9ef8-8849eb102e4c</x:v>
      </x:c>
      <x:c r="G169" s="7" t="str">
        <x:v>["COBOL", "DB2", "PHP", "business processes", "circular economy", "communicate with stakeholders", "database", "design application interfaces", "manage maintenance operations", "provide technical documentation", "use software design patterns"]</x:v>
      </x:c>
      <x:c r="H169" s="7" t="str">
        <x:v>["PHP", "database"]</x:v>
      </x:c>
      <x:c r="I169" s="7" t="str">
        <x:v>["communicate with stakeholders"]</x:v>
      </x:c>
      <x:c r="J169" s="7" t="str">
        <x:v>["data_engineering", "software"]</x:v>
      </x:c>
      <x:c r="K169" s="7" t="str">
        <x:v>[]</x:v>
      </x:c>
      <x:c r="L169" s="7" t="str">
        <x:v>["software", "cloud_devops", "networks_systems"]</x:v>
      </x:c>
      <x:c r="M169" s="7" t="str">
        <x:v>["cloud_devops", "data_engineering", "networks_systems", "software"]</x:v>
      </x:c>
      <x:c r="N169" s="7" t="str">
        <x:v>["software"]</x:v>
      </x:c>
      <x:c r="O169" s="7" t="str">
        <x:v>["esco", "description"]</x:v>
      </x:c>
      <x:c r="P169" s="7" t="str">
        <x:v>["communication"]</x:v>
      </x:c>
      <x:c r="Q169" s="8" t="str">
        <x:v>yes</x:v>
      </x:c>
      <x:c r="R169" s="8" t="str">
        <x:v>yes</x:v>
      </x:c>
      <x:c r="S169" s="8" t="str">
        <x:v>yes</x:v>
      </x:c>
      <x:c r="T169" s="7" t="str">
        <x:v>Reviewed against title, duties, mapped skills and detection sources.</x:v>
      </x:c>
    </x:row>
    <x:row r="170">
      <x:c r="A170" s="5" t="str">
        <x:v>software</x:v>
      </x:c>
      <x:c r="B170" s="5" t="str">
        <x:v>134072</x:v>
      </x:c>
      <x:c r="C170" s="7" t="str">
        <x:v>Java Developer (M/F)</x:v>
      </x:c>
      <x:c r="D170" s="7" t="str">
        <x:v>In Brief: Permanent contract - Nice - Senior Backend Developer Java / Spring (F/M) - 45/55K - 2/3 days of teleworking Adsearch, a specialist recruitment consultancy company supports you in your career to find you THE ideal position. I am recruiting for a client based in Nice, a Senior Backend Java / Spring Developer (F/M). We are looking for an experienced backend developer (M/F), passionate about software craftsmanship and the design of flexible, scalable and high-quality applications. As part of a team of enthusiasts, you will participate in the redesign and design of the core domain of a strategic application, in an environment that values ​​collaboration, technical excellence and code quality. Your missions: -&amp;nbsp;Design and develop backend functionalities in Java/Spring. - Participate in improving the architecture and implementing a scalable object-oriented design. - Write clean, maintainable and tested code (unit tests). - Collaborate in Agile mode within a united and committed team. Technical environment: Java, Spring, React, Gitlab, SonarQube, MariaDB, Jira, Confluence...</x:v>
      </x:c>
      <x:c r="E170" s="5" t="str">
        <x:v>45000.0</x:v>
      </x:c>
      <x:c r="F170" s="5" t="str">
        <x:v>f2b15a0e-e65a-438a-affb-29b9d50b77d1</x:v>
      </x:c>
      <x:c r="G170" s="7" t="str">
        <x:v>["Java (computer programming)"]</x:v>
      </x:c>
      <x:c r="H170" s="7" t="str">
        <x:v>["Java (computer programming)"]</x:v>
      </x:c>
      <x:c r="I170" s="7" t="str">
        <x:v>[]</x:v>
      </x:c>
      <x:c r="J170" s="7" t="str">
        <x:v>["software"]</x:v>
      </x:c>
      <x:c r="K170" s="7" t="str">
        <x:v>["software"]</x:v>
      </x:c>
      <x:c r="L170" s="7" t="str">
        <x:v>["software"]</x:v>
      </x:c>
      <x:c r="M170" s="7" t="str">
        <x:v>["software"]</x:v>
      </x:c>
      <x:c r="N170" s="7" t="str">
        <x:v>["software"]</x:v>
      </x:c>
      <x:c r="O170" s="7" t="str">
        <x:v>["esco", "title", "description"]</x:v>
      </x:c>
      <x:c r="P170" s="7" t="str">
        <x:v>[]</x:v>
      </x:c>
      <x:c r="Q170" s="8" t="str">
        <x:v>yes</x:v>
      </x:c>
      <x:c r="R170" s="8" t="str">
        <x:v>yes</x:v>
      </x:c>
      <x:c r="S170" s="8" t="str">
        <x:v>yes</x:v>
      </x:c>
      <x:c r="T170" s="7" t="str">
        <x:v>Reviewed against title, duties, mapped skills and detection sources.</x:v>
      </x:c>
    </x:row>
    <x:row r="171">
      <x:c r="A171" s="5" t="str">
        <x:v>software</x:v>
      </x:c>
      <x:c r="B171" s="5" t="str">
        <x:v>51819941</x:v>
      </x:c>
      <x:c r="C171" s="7" t="str">
        <x:v>Web Developer (M/F)</x:v>
      </x:c>
      <x:c r="D171" s="7" t="str">
        <x:v>Job description: Full-Stack .NET Core Developer focused on micro-services &amp; Kubernetes - Permanent contract M/F At the heart of the digital transformation of Crédit Agricole Île-de-France, play a central role as a Full-Stack .NET Core Developer, capable of working within a modern, distributed and containerized architecture. You will operate in a hybrid environment: a historical base in PHP that you will gradually evolve towards a .NET Core ecosystem, micro-services, Kubernetes and Linux. Your Typical Day Imagine starting your day with a coffee while analyzing the latest services deployed in the Kubernetes cluster. Internal ticketing presents you with new business requests: each requires in-depth technical thinking, an ability to build a clean, robust, scalable micro-service. and perfectly integrated into the existing architecture. You then discuss with business clients to precisely define the needs. Your role is essential: transform a functional need into a relevant, efficient and sustainable technical solution. Then you enter your zone of mastery Developing clean, decoupled and maintainable .NET Core micro-services. Integration into a Kubernetes / Linux environment (pods, services, observability, good practices for resilience Manipulation and optimization of data under MS SQL Interaction with the existing PHP heritage, which you understand sufficiently to interface with it or evolve certain bricks. You are a source of proposals: you challenge the existing, propose improvements, anticipate architectural impacts. Your pedagogy makes the difference: you like to pass on your good practices to other developers to improve the overall quality of the code. At the same time, technological monitoring is a natural reflex: patterns, good distributed development practices, security, performance. Your Mission Design, develop and evolve .NET Core micro-services in a cloud-native environment based on Kubernetes, Linux, MS SQL and Git * Interact with existing PHP when necessary, understanding the technical issues and the interfaces to maintain. documentation, code quality, testing, integration and production via CI/CD pipelines Collaborate closely with business teams to transform needs into robust and scalable technical solutions * Be a force for proposals on application architecture: division into micro-services, communication patterns, code structuring, DevOps best practices (without being an infrastructure profile Transmit your modern development best practices (clean code, tests, observability, resilience) to pull the team to the top. Profile description: Who are you? Graduate in computer science, you have solid experience in back-end and full-stack .NET Core development, in distributed and micro-services oriented environments. Your mastery of .NET Core, decoupled architectures and modern development practices is your real strength. Comfortable in a Kubernetes / Linux ecosystem, you know how to design, deploy and maintain robust, scalable and observable services. essential for manipulating and optimizing data at the heart of business processes You have already worked in hybrid environments including a PHP heritage, which you know how to understand or interface as needed - without this being your main specialty. more, without being obligatory. Why Crédit Agricole Île-de-France? Because you are joining an environment where innovation, modern architecture and technical excellence come together to sustainably transform the financial landscape. Because you are taking a key role in the evolution of the internal applications of a large regional bank, with a real technological impact and a long-term vision.</x:v>
      </x:c>
      <x:c r="E171" s="5" t="str">
        <x:v>45000.0</x:v>
      </x:c>
      <x:c r="F171" s="5" t="str">
        <x:v>c40a2919-48a9-40ea-b506-1f34f693496d</x:v>
      </x:c>
      <x:c r="G171" s="7" t="str">
        <x:v>["SQL", "communication", "coordinate security", "historic architecture", "identify clients' needs", "improve business processes", "interfacing techniques", "provide user documentation", "solve technical problems", "sustainable technologies", "work with e-services available to citizens"]</x:v>
      </x:c>
      <x:c r="H171" s="7" t="str">
        <x:v>["SQL"]</x:v>
      </x:c>
      <x:c r="I171" s="7" t="str">
        <x:v>["communication", "solve technical problems"]</x:v>
      </x:c>
      <x:c r="J171" s="7" t="str">
        <x:v>["data_analysis"]</x:v>
      </x:c>
      <x:c r="K171" s="7" t="str">
        <x:v>["software"]</x:v>
      </x:c>
      <x:c r="L171" s="7" t="str">
        <x:v>["software", "cloud_devops", "networks_systems"]</x:v>
      </x:c>
      <x:c r="M171" s="7" t="str">
        <x:v>["cloud_devops", "data_analysis", "networks_systems", "software"]</x:v>
      </x:c>
      <x:c r="N171" s="7" t="str">
        <x:v>["software"]</x:v>
      </x:c>
      <x:c r="O171" s="7" t="str">
        <x:v>["esco", "title", "description"]</x:v>
      </x:c>
      <x:c r="P171" s="7" t="str">
        <x:v>["communication", "problem_solving"]</x:v>
      </x:c>
      <x:c r="Q171" s="8" t="str">
        <x:v>yes</x:v>
      </x:c>
      <x:c r="R171" s="8" t="str">
        <x:v>yes</x:v>
      </x:c>
      <x:c r="S171" s="8" t="str">
        <x:v>yes</x:v>
      </x:c>
      <x:c r="T171" s="7" t="str">
        <x:v>Reviewed against title, duties, mapped skills and detection sources.</x:v>
      </x:c>
    </x:row>
    <x:row r="172">
      <x:c r="A172" s="5" t="str">
        <x:v>software</x:v>
      </x:c>
      <x:c r="B172" s="5" t="str">
        <x:v>27759955</x:v>
      </x:c>
      <x:c r="C172" s="7" t="str">
        <x:v>Confirmed C# .NET Developer (M/F)</x:v>
      </x:c>
      <x:c r="D172" s="7" t="str">
        <x:v>As part of strengthening its IT team, our client is recruiting an experienced C# .NET Developer to work on high value-added application projects. As a .NET Developer, you will be involved in the entire life cycle of applications: - Design and develop applications in C# .NET - Participate in the analysis of technical and functional needs - Develop functionalities while respecting good practices - Carry out unit tests and participate in the validation of developments - Correct anomalies and ensure application maintenance - Collaborate with the technical and functional teams The position is to be filled on a permanent basis in Lyon (69). You have 3 to 5 years of experience in C# development and master its associated frameworks (.NET). You are comfortable with relational databases, enjoy teamwork and demonstrate rigor. You are autonomous and proactive.</x:v>
      </x:c>
      <x:c r="E172" s="5" t="str">
        <x:v>45000.0</x:v>
      </x:c>
      <x:c r="F172" s="5" t="str">
        <x:v>f2b15a0e-e65a-438a-affb-29b9d50b77d1</x:v>
      </x:c>
      <x:c r="G172" s="7" t="str">
        <x:v>["C#"]</x:v>
      </x:c>
      <x:c r="H172" s="7" t="str">
        <x:v>["C#"]</x:v>
      </x:c>
      <x:c r="I172" s="7" t="str">
        <x:v>[]</x:v>
      </x:c>
      <x:c r="J172" s="7" t="str">
        <x:v>["software"]</x:v>
      </x:c>
      <x:c r="K172" s="7" t="str">
        <x:v>[]</x:v>
      </x:c>
      <x:c r="L172" s="7" t="str">
        <x:v>["software"]</x:v>
      </x:c>
      <x:c r="M172" s="7" t="str">
        <x:v>["software"]</x:v>
      </x:c>
      <x:c r="N172" s="7" t="str">
        <x:v>["software"]</x:v>
      </x:c>
      <x:c r="O172" s="7" t="str">
        <x:v>["esco", "description"]</x:v>
      </x:c>
      <x:c r="P172" s="7" t="str">
        <x:v>[]</x:v>
      </x:c>
      <x:c r="Q172" s="8" t="str">
        <x:v>yes</x:v>
      </x:c>
      <x:c r="R172" s="8" t="str">
        <x:v>yes</x:v>
      </x:c>
      <x:c r="S172" s="8" t="str">
        <x:v>yes</x:v>
      </x:c>
      <x:c r="T172" s="7" t="str">
        <x:v>Reviewed against title, duties, mapped skills and detection sources.</x:v>
      </x:c>
    </x:row>
    <x:row r="173">
      <x:c r="A173" s="5" t="str">
        <x:v>software</x:v>
      </x:c>
      <x:c r="B173" s="5" t="str">
        <x:v>SOFTY_PE_V2_189288_LOC_0</x:v>
      </x:c>
      <x:c r="C173" s="7" t="str">
        <x:v>CHARGÉ(E) DE PRODUCTION PRINT &amp; DATA DESIGN - EXPERT EASYCATALOG - H/F</x:v>
      </x:c>
      <x:c r="D173" s="7" t="str">
        <x:v>Description: Join MILLESIMA, an essential reference for prestigious wines and spirits, and join our Brand Marketing department to play a key role in the production and promotion of our print communication media, contributing to the dissemination of our premium image in France and internationally. Your main missions will be divided into 2 themes: PRODUCTION PRINT * Carry out the automated layout of catalogs, offers and supports from product databases. * Create and maintain EasyCatalog formatting programs, respecting creative briefs, graphic charter and defined guidelines. * Plan and monitor print projects: collection of elements, assembly, quality control (consistency, readability, colorimetry) and sending to the printer on time. * Prepare, control and update product, price and visual databases, ensuring compliance with the graphic charter and printer standards. * Ensure quality control of deliverables (consistency, readability, colorimetry) before transmission to prepress. * Digitize catalogs and offers for publication on MILLESIMA sites. Print Logistics * Guarantee the quality, reliability and updating of customer databases intended for mailing campaigns. * Ensure the consistency and conformity of addresses to guarantee the success of postal shipments and limit PNDs. * Supervise the reception, storage, distribution and shipping of print media, as well as the management of document stocks and their archiving. * Process PNDs and update shipments in the ERP. Profile sought: With training in visual communication or publishing, you have significant experience in graphic production, creation of models and management of automated formatting programs. You master the graphic chain and the technical constraints linked to printing. TECHNICAL SKILLS * Advanced mastery of Adobe InDesign and Acrobat Pro. * Essential expertise in EasyCatalog (CSV/Excel/ERP ↔ InDesign database connection). * Good understanding of databases (CSV, XML, SQL, ERP) and FileMaker. * Knowledge of scripting (JavaScript, ExtendScript, Lua) and GREP to automate formatting tasks. * Knowledge of HTML/CSS and strong interest in artificial intelligence tools applied to graphics. * Ability to translate technical data into clear, harmonious and coherent visual information (_data design print_). PERSONAL QUALITIES * Accustomed to working in project mode, you know how to plan, prioritize and monitor your files rigorously. * Excellent command of the French language * Good practice of English would be ideal. * Organized, reliable and attentive to detail, you like a job well done. * With good interpersonal skills, you collaborate easily with various contacts (marketing, technical and management teams as well as suppliers). * Curious, open to new technologies and a bit of a “geek”, you like to explore new technical solutions, develop existing solutions and imagine bridges between print and the digital world. * Enthusiastic, committed and sensitive to the world of wines, spirits and luxury, you share a taste for excellence and precision.</x:v>
      </x:c>
      <x:c r="E173" s="5" t="str">
        <x:v>35000.0</x:v>
      </x:c>
      <x:c r="F173" s="5" t="str">
        <x:v>78216000-edc1-474b-9569-28ed6a657da2</x:v>
      </x:c>
      <x:c r="G173" s="7" t="str">
        <x:v>["Filemaker (database management systems)", "JavaScript", "SQL", "create model", "manage visual communications", "marketing department processes", "printing materials", "publishing strategy", "technical terminology"]</x:v>
      </x:c>
      <x:c r="H173" s="7" t="str">
        <x:v>["Filemaker (database management systems)", "JavaScript", "SQL"]</x:v>
      </x:c>
      <x:c r="I173" s="7" t="str">
        <x:v>[]</x:v>
      </x:c>
      <x:c r="J173" s="7" t="str">
        <x:v>["data_analysis", "data_engineering", "software"]</x:v>
      </x:c>
      <x:c r="K173" s="7" t="str">
        <x:v>[]</x:v>
      </x:c>
      <x:c r="L173" s="7" t="str">
        <x:v>["ai_ml", "software"]</x:v>
      </x:c>
      <x:c r="M173" s="7" t="str">
        <x:v>["ai_ml", "data_analysis", "data_engineering", "software"]</x:v>
      </x:c>
      <x:c r="N173" s="7" t="str">
        <x:v>["software"]</x:v>
      </x:c>
      <x:c r="O173" s="7" t="str">
        <x:v>["esco", "description"]</x:v>
      </x:c>
      <x:c r="P173" s="7" t="str">
        <x:v>[]</x:v>
      </x:c>
      <x:c r="Q173" s="8" t="str">
        <x:v>yes</x:v>
      </x:c>
      <x:c r="R173" s="8" t="str">
        <x:v>yes</x:v>
      </x:c>
      <x:c r="S173" s="8" t="str">
        <x:v>yes</x:v>
      </x:c>
      <x:c r="T173" s="7" t="str">
        <x:v>Reviewed against title, duties, mapped skills and detection sources.</x:v>
      </x:c>
    </x:row>
    <x:row r="174">
      <x:c r="A174" s="5" t="str">
        <x:v>software</x:v>
      </x:c>
      <x:c r="B174" s="5" t="str">
        <x:v>36340070</x:v>
      </x:c>
      <x:c r="C174" s="7" t="str">
        <x:v>Software Tester M/F</x:v>
      </x:c>
      <x:c r="D174" s="7" t="str">
        <x:v>&amp;#127968;WHO ARE WE? Prysm was born from the recent merger between Prysm and ESI (European Systems Integration), now united under a single brand: Prysm. This strategic development aims to strengthen the software division of the Vitaprotech group and to offer a complete portfolio of integrated, sovereign and cybersecure solutions. Historically, ESI was a European leader in the design and development of remote surveillance, video surveillance, remote assistance and call center software solutions. The company has been supporting clients in mainland France, overseas and internationally for many years. In 2021, ESI joined Hirsch Group (700 employees / €160 million turnover), a major French player specializing in securing sensitive and vital sites. Today, under the single Prysm banner, the company offers a complete range of software solutions combining monitoring, hypervision, video management and behavioral analysis, deployable on-premise, in hosted mode or in 100% cloud. &amp;#127919; YOUR MISSIONS: Reporting to the Test and Validation Manager, you will join the R&amp;D department and strengthen the Validation team. In this context, you guarantee the quality of the products delivered by the service and you are part of the quality improvement process initiated by the company. You participate concretely in the following phases: · Design, execute and document functional and non-functional manual test cases; · Execute and document automated test cases; · Perform non-regression tests to ensure software stability; · Collaborate with the various stakeholders of the design office; · Identify and document anomalies encountered during tests; · Participate in anomaly review meetings. Training &amp; Experience You have completed higher education at Bac + 2/3 level in the IT field. You hold the ISTQB Foundation certification. You benefit from at least 2 years of experience in a test and validation oriented position Technical skills: · Mastery of Microsoft Windows and ideally Linux environments; · Knowledge of software testing methodologies and associated tools; · Knowledge of test management software and defect tracking software such as Jira · Basic programming knowledge in languages ​​such as C#NET, Java, Javascript or Python would be a plus; · Knowledge of automated testing tools such as PyTest, Cypress, Selenium would be a plus; · Knowledge of Agile Scrum methodologies would be a plus · Good command of technical English (written and spoken) Your soft skills: · You are a passionate, curious person with analytical qualities · You enjoy working in a team while having a degree of autonomy in your missions · You demonstrate rigor and organization in your work · You have very good interpersonal and writing skills WHY JOIN US? The group is growing strongly and offers opportunities for development and mobility in France and internationally. You work with open and caring teams and management based on trust, support and responsibility. You will have unlimited access to our e-learning Platform! We are also committed to a sustainable approach to Social and Environmental Responsibility in order to improve the quality of life of our employees and make them actors of this change. The group is open to all talents and all differences. DETAILS: Type of contract: Permanent contract - full-time Collective agreement: SYNTEC Remuneration: €37/38 thousand Fixed Benefits: Restaurant ticket card covered at 60%, family mutual insurance covered at 70%, gift vouchers, employee savings, co-optation bonus, public transport covered at 60%, teleworking, flexible hours, sustainable mobility package, diversity policy (experienced, disabled, young, gender equality). The position is based in Sophia Antipolis (06) To find out more: &amp;#127760; www.prysm.fr www.vitaprotech.com</x:v>
      </x:c>
      <x:c r="E174" s="5" t="str">
        <x:v>37500.0</x:v>
      </x:c>
      <x:c r="F174" s="5" t="str">
        <x:v>a950e88b-cb5e-4a7d-8a94-3f9460b487d7</x:v>
      </x:c>
      <x:c r="G174" s="7" t="str">
        <x:v>["Java (computer programming)", "assume responsibility", "call-centre technologies", "cyber security", "debug software", "evaluate environmental impact of personal behaviour", "manage closed-circuit television system", "mobility as a service", "provide software testing documentation", "software design methodologies", "tools for ICT test automation"]</x:v>
      </x:c>
      <x:c r="H174" s="7" t="str">
        <x:v>["Java (computer programming)", "cyber security"]</x:v>
      </x:c>
      <x:c r="I174" s="7" t="str">
        <x:v>["assume responsibility"]</x:v>
      </x:c>
      <x:c r="J174" s="7" t="str">
        <x:v>["cybersecurity", "software"]</x:v>
      </x:c>
      <x:c r="K174" s="7" t="str">
        <x:v>[]</x:v>
      </x:c>
      <x:c r="L174" s="7" t="str">
        <x:v>["software", "networks_systems"]</x:v>
      </x:c>
      <x:c r="M174" s="7" t="str">
        <x:v>["cybersecurity", "networks_systems", "software"]</x:v>
      </x:c>
      <x:c r="N174" s="7" t="str">
        <x:v>["software"]</x:v>
      </x:c>
      <x:c r="O174" s="7" t="str">
        <x:v>["esco", "description"]</x:v>
      </x:c>
      <x:c r="P174" s="7" t="str">
        <x:v>["initiative_responsibility"]</x:v>
      </x:c>
      <x:c r="Q174" s="8" t="str">
        <x:v>yes</x:v>
      </x:c>
      <x:c r="R174" s="8" t="str">
        <x:v>yes</x:v>
      </x:c>
      <x:c r="S174" s="8" t="str">
        <x:v>yes</x:v>
      </x:c>
      <x:c r="T174" s="7" t="str">
        <x:v>Reviewed against title, duties, mapped skills and detection sources.</x:v>
      </x:c>
    </x:row>
    <x:row r="175">
      <x:c r="A175" s="5" t="str">
        <x:v>software</x:v>
      </x:c>
      <x:c r="B175" s="5" t="str">
        <x:v>9829febb-efea-4347-9d3b-94f4575556d0</x:v>
      </x:c>
      <x:c r="C175" s="7" t="str">
        <x:v>Business Developer IT H/F</x:v>
      </x:c>
      <x:c r="D175" s="7" t="str">
        <x:v>Our company has developed an offer based on 3 axes: - The development of new generation applications with a strong specialization on Microsoft .NET and JAVA technologies - Consulting in systems and network infrastructures - AMOA and project management As part of our development, we are recruiting a Sales Engineer (M/F) on a permanent contract who will take on the following responsibilities: - Commercial prospecting in order to build up its customer portfolio and conquer new markets - Carry out meetings with prospects to identification of opportunities - Ensure the marketing of our offer based on technical assistance services and packages/TMA. - Ensure the production of technical and financial proposals with pre-sales consultants. - Management of the consultants for whom you will be in charge - Carry out reporting to management Profile sought: Your Profile: Coming from Bac+2 to Bac+5 commercial training, you have, ideally, experience in commercial development acquired in ESN in the sale of technical assistance services. Dynamic, rigor, autonomy, enthusiasm are essential assets. Human relations are at the heart of your concerns and you thrive in an environment where the culture of results, customer/employee satisfaction, team spirit and mutual assistance constitute essential values. Status: Executive Package: €40,000.00 to €60,000.00 per year Hours: - Weekend rest - Daytime work - Additional remuneration: - Bonuses Work location: Vitrolles</x:v>
      </x:c>
      <x:c r="E175" s="5" t="str">
        <x:v>70000.0</x:v>
      </x:c>
      <x:c r="F175" s="5" t="str">
        <x:v>16605833-c196-48d7-a6f5-bbdebdc353df</x:v>
      </x:c>
      <x:c r="G175" s="7" t="str">
        <x:v>["Java (computer programming)", "participate in technical aspects of the production", "patient autonomy", "project management", "satisfy customers"]</x:v>
      </x:c>
      <x:c r="H175" s="7" t="str">
        <x:v>["Java (computer programming)"]</x:v>
      </x:c>
      <x:c r="I175" s="7" t="str">
        <x:v>["satisfy customers"]</x:v>
      </x:c>
      <x:c r="J175" s="7" t="str">
        <x:v>["software"]</x:v>
      </x:c>
      <x:c r="K175" s="7" t="str">
        <x:v>[]</x:v>
      </x:c>
      <x:c r="L175" s="7" t="str">
        <x:v>["software"]</x:v>
      </x:c>
      <x:c r="M175" s="7" t="str">
        <x:v>["software"]</x:v>
      </x:c>
      <x:c r="N175" s="7" t="str">
        <x:v>["software"]</x:v>
      </x:c>
      <x:c r="O175" s="7" t="str">
        <x:v>["esco", "description"]</x:v>
      </x:c>
      <x:c r="P175" s="7" t="str">
        <x:v>["customer_interaction"]</x:v>
      </x:c>
      <x:c r="Q175" s="8" t="str">
        <x:v>no</x:v>
      </x:c>
      <x:c r="R175" s="8" t="str">
        <x:v>no</x:v>
      </x:c>
      <x:c r="S175" s="8" t="str">
        <x:v>yes</x:v>
      </x:c>
      <x:c r="T175" s="7" t="str">
        <x:v>False positive: καθαρά εμπορικός Business Developer IT χωρίς ουσιαστικά τεχνικά καθήκοντα.</x:v>
      </x:c>
    </x:row>
    <x:row r="176">
      <x:c r="A176" s="5" t="str">
        <x:v>software</x:v>
      </x:c>
      <x:c r="B176" s="5" t="str">
        <x:v>7syam8cxzd</x:v>
      </x:c>
      <x:c r="C176" s="7" t="str">
        <x:v>Full stack developer .NET / Angular (M/F)</x:v>
      </x:c>
      <x:c r="D176" s="7" t="str">
        <x:v>RESPONSIBILITIES: Our client is a major player in the entertainment and information field. The group is seeking to strengthen its technical teams to manage and improve its advertising-related applications, in a dynamic, innovative environment with ambitious projects. They are looking for a: Full stack.NET / Angular developer (M/F) CDI - BOULOGNE - BILLANCOURT (92) - FROM 45K Within the advertising division and an agile team, you will be responsible for developing and maintaining applications related to the group's advertising products. You will work closely with the development teams, Ops, and Product teams to ensure high quality features. Your main missions will be: • Actively participate in the development and maintenance of applications. • Collaborate with teams to guarantee the quality of features and smooth production release. • Carry out unit tests and participate in code reviews. • Participate in technological monitoring and the development of the team's skills PROFILE WANTED: We are looking for a profile with 3 years' experience as a Full Stack developer (C#.Net / Angular). You are comfortable in an Agile environment and have a good command of unit testing and continuous integration with CI/CD. Technical environment: • Good experience in C#.NET • Ideally, intermediate level or an interest in Angular (possibility of being trained internally) • Good understanding of software development principles: software craftsmanship, unit tests (XUnit), integration tests, and code reviews • Databases: SQL Server • Containerization: Docker, Kubernetes, AKS • Good knowledge and experience in CI/CD Azure DevOps Human environment: You will evolve in a flexible working environment and a corporate culture allowing all profiles to flourish on a daily basis, and an all-inclusive culture. Your profile: Autonomy, organization, and excellent communication are traits that we highly value. We are looking for a person who is both proactive and able to adapt in a rapidly evolving technical environment. Framework and benefits of the position: • 39-hour permanent contract - executive status • Teleworking: 3 days / week • Attractive remuneration (incentive bonuses and 13th month) • Others: Company restaurant, 80% Navigo Pass coverage or on-site parking, CE with numerous benefits (culture check, vacation, childcare subsidy, etc.). • You work for a group with strong commitments to three major areas of action: diversity and inclusion, ecological transition and solidarity. With equal skills and qualifications, priority will be given to a person with an RQTH (or other BOETH title). Recruitment process: NEXTGEN RH, a multi-specialist headhunting firm, supports you throughout the recruitment process through a fundamentally human approach: a single contact throughout the process. 1/ Video interview with your recruitment manager 3/ Test and interviews with our client</x:v>
      </x:c>
      <x:c r="E176" s="5" t="str">
        <x:v>50000.0</x:v>
      </x:c>
      <x:c r="F176" s="5" t="str">
        <x:v>c40a2919-48a9-40ea-b506-1f34f693496d</x:v>
      </x:c>
      <x:c r="G176" s="7" t="str">
        <x:v>["Agile development", "C#", "advertising techniques", "entertainment industry", "execute integration testing"]</x:v>
      </x:c>
      <x:c r="H176" s="7" t="str">
        <x:v>["C#"]</x:v>
      </x:c>
      <x:c r="I176" s="7" t="str">
        <x:v>[]</x:v>
      </x:c>
      <x:c r="J176" s="7" t="str">
        <x:v>["software"]</x:v>
      </x:c>
      <x:c r="K176" s="7" t="str">
        <x:v>["software"]</x:v>
      </x:c>
      <x:c r="L176" s="7" t="str">
        <x:v>["data_engineering", "software", "cloud_devops"]</x:v>
      </x:c>
      <x:c r="M176" s="7" t="str">
        <x:v>["cloud_devops", "data_engineering", "software"]</x:v>
      </x:c>
      <x:c r="N176" s="7" t="str">
        <x:v>["software"]</x:v>
      </x:c>
      <x:c r="O176" s="7" t="str">
        <x:v>["esco", "title", "description"]</x:v>
      </x:c>
      <x:c r="P176" s="7" t="str">
        <x:v>[]</x:v>
      </x:c>
      <x:c r="Q176" s="8" t="str">
        <x:v>yes</x:v>
      </x:c>
      <x:c r="R176" s="8" t="str">
        <x:v>yes</x:v>
      </x:c>
      <x:c r="S176" s="8" t="str">
        <x:v>yes</x:v>
      </x:c>
      <x:c r="T176" s="7" t="str">
        <x:v>Reviewed against title, duties, mapped skills and detection sources.</x:v>
      </x:c>
    </x:row>
    <x:row r="177">
      <x:c r="A177" s="5" t="str">
        <x:v>software</x:v>
      </x:c>
      <x:c r="B177" s="5" t="str">
        <x:v>27760205</x:v>
      </x:c>
      <x:c r="C177" s="7" t="str">
        <x:v>Confirmed ReactJS Developer (M/F)</x:v>
      </x:c>
      <x:c r="D177" s="7" t="str">
        <x:v>As part of strengthening its IT team, our client is recruiting an experienced ReactJS Developer to work on high value-added application projects. As a ReactJS Developer, you will be involved in the entire life cycle of applications: - Design and develop applications in ReactJS - Participate in the analysis of technical and functional needs - Develop functionalities while respecting good practices - Carry out unit tests and participate in the validation of developments - Correct anomalies and ensure application maintenance - Collaborate with the technical and functional teams The position is to be filled on a permanent basis in Lyon (69). You have 3 to 5 years of experience in Javascript development and master its associated frameworks (ReactJS, VueJS, Angular, etc.) You are comfortable with relational databases, enjoy teamwork and demonstrate rigor. You are autonomous and proactive.</x:v>
      </x:c>
      <x:c r="E177" s="5" t="str">
        <x:v>45000.0</x:v>
      </x:c>
      <x:c r="F177" s="5" t="str">
        <x:v>f2b15a0e-e65a-438a-affb-29b9d50b77d1</x:v>
      </x:c>
      <x:c r="G177" s="7" t="str">
        <x:v>["Angular"]</x:v>
      </x:c>
      <x:c r="H177" s="7" t="str">
        <x:v>["Angular"]</x:v>
      </x:c>
      <x:c r="I177" s="7" t="str">
        <x:v>[]</x:v>
      </x:c>
      <x:c r="J177" s="7" t="str">
        <x:v>["software"]</x:v>
      </x:c>
      <x:c r="K177" s="7" t="str">
        <x:v>[]</x:v>
      </x:c>
      <x:c r="L177" s="7" t="str">
        <x:v>["software"]</x:v>
      </x:c>
      <x:c r="M177" s="7" t="str">
        <x:v>["software"]</x:v>
      </x:c>
      <x:c r="N177" s="7" t="str">
        <x:v>["software"]</x:v>
      </x:c>
      <x:c r="O177" s="7" t="str">
        <x:v>["esco", "description"]</x:v>
      </x:c>
      <x:c r="P177" s="7" t="str">
        <x:v>[]</x:v>
      </x:c>
      <x:c r="Q177" s="8" t="str">
        <x:v>yes</x:v>
      </x:c>
      <x:c r="R177" s="8" t="str">
        <x:v>yes</x:v>
      </x:c>
      <x:c r="S177" s="8" t="str">
        <x:v>yes</x:v>
      </x:c>
      <x:c r="T177" s="7" t="str">
        <x:v>Reviewed against title, duties, mapped skills and detection sources.</x:v>
      </x:c>
    </x:row>
    <x:row r="178">
      <x:c r="A178" s="5" t="str">
        <x:v>software</x:v>
      </x:c>
      <x:c r="B178" s="5" t="str">
        <x:v>52025262</x:v>
      </x:c>
      <x:c r="C178" s="7" t="str">
        <x:v>Senior Full-Stack H/F</x:v>
      </x:c>
      <x:c r="D178" s="7" t="str">
        <x:v>POSITION: Senior Full-Stack M/F DESCRIPTION: As part of the development and structuring of our technological platform, we are recruiting a Senior Full-Stack Engineer to strengthen our engineering team. This position is aimed at a confirmed profile, capable of evolving in a demanding environment, performance and quality oriented, with a high level of autonomy and responsibility. The recruited person will work in close collaboration with the CTO and the VP Engineering. The technical environment is stimulating and structuring, with a strong culture of excellence and rigor. Main missions Attached to the technical department, you will work in particular on: The design and evolution of the application architecture The development of robust, scalable and maintainable functionalities Intervention on the entire stack (front-end and back-end) Continuous improvement of code quality and performance Participation in structuring technological choices Contribution to technical documentation and good practices Supporting the rise in technical maturity of projects The position requires a high level of ownership and a global understanding of product and technical issues. Technological environment Front-end: React, TypeScript, Redux Back-end: Node.js, Express Database: MongoDB, ElasticSearch Infrastructure: AWS Tools: Git, test environments. . PROFILE: We are looking for a senior profile, structured and rigorous, with real technical depth. Expected skills and experience: Minimum 5 years of experience in full-stack development Proven mastery of React and TypeScript Solid experience in back-end development (Node.js or equivalent technologies) Good understanding of architecture, performance and scalability issues Culture of software quality (testing, maintainability, documentation) Ability to evolve in a demanding and technically intensive environment Excellent communication skills Training: Engineering training from a recognized establishment constitutes a significant asset.</x:v>
      </x:c>
      <x:c r="E178" s="5" t="str">
        <x:v>60000.0</x:v>
      </x:c>
      <x:c r="F178" s="5" t="str">
        <x:v>57af9090-55b4-4911-b2d0-86db01c00b02</x:v>
      </x:c>
      <x:c r="G178" s="7" t="str">
        <x:v>["TypeScript", "assume responsibility", "solve technical problems"]</x:v>
      </x:c>
      <x:c r="H178" s="7" t="str">
        <x:v>["TypeScript"]</x:v>
      </x:c>
      <x:c r="I178" s="7" t="str">
        <x:v>["assume responsibility", "solve technical problems"]</x:v>
      </x:c>
      <x:c r="J178" s="7" t="str">
        <x:v>["software"]</x:v>
      </x:c>
      <x:c r="K178" s="7" t="str">
        <x:v>["software"]</x:v>
      </x:c>
      <x:c r="L178" s="7" t="str">
        <x:v>["data_engineering", "software", "cloud_devops"]</x:v>
      </x:c>
      <x:c r="M178" s="7" t="str">
        <x:v>["cloud_devops", "data_engineering", "software"]</x:v>
      </x:c>
      <x:c r="N178" s="7" t="str">
        <x:v>["software"]</x:v>
      </x:c>
      <x:c r="O178" s="7" t="str">
        <x:v>["esco", "title", "description"]</x:v>
      </x:c>
      <x:c r="P178" s="7" t="str">
        <x:v>["initiative_responsibility", "problem_solving"]</x:v>
      </x:c>
      <x:c r="Q178" s="8" t="str">
        <x:v>yes</x:v>
      </x:c>
      <x:c r="R178" s="8" t="str">
        <x:v>yes</x:v>
      </x:c>
      <x:c r="S178" s="8" t="str">
        <x:v>yes</x:v>
      </x:c>
      <x:c r="T178" s="7" t="str">
        <x:v>Reviewed against title, duties, mapped skills and detection sources.</x:v>
      </x:c>
    </x:row>
    <x:row r="179">
      <x:c r="A179" s="5" t="str">
        <x:v>software</x:v>
      </x:c>
      <x:c r="B179" s="5" t="str">
        <x:v>156517064832953062</x:v>
      </x:c>
      <x:c r="C179" s="7" t="str">
        <x:v>Symfony PHP Backend Developer M/F</x:v>
      </x:c>
      <x:c r="D179" s="7" t="str">
        <x:v>POSITION: Symfony PHP Backend Developer M/F DESCRIPTION: Your mission LHH Recruitment Solutions, a consultancy firm in the recruitment of experts and executives, is recruiting for its client, a final company linked to the medical sector, a Symfony PHP Backend Developer (M/F) in Toulouse (31), on a permanent basis. As part of application projects, you will have to ensure the evolution of existing applications and the development of new applications from scratch. Your main missions will be as follows: - Design, develop and maintain high-stakes business functionalities; - Contribute to robust and consistent REST APIs; - Work independently with the project manager to understand business needs; - Participate in software architecture choices: structuring of modules, front/back consistency, maintainability, performance; - Be a force for proposals on technical choices and continuous improvement; - Participate in structuring quality (pragmatism, tests, readability, documentation); - Occasionally support more junior developers; - Take into account the constraints of the cost/delay/quality triangle in your decisions. Your profile You have a degree in computer science (Bac +5) and have at least 5 years of experience in a Symfony PHP development position. Autonomous and organized, you like versatility. Technical skills required: - Backend: PHP 8.4, Symfony 6.4 - Tools and DevOps: Gitlab, Gitlab CI, Docker, Jira - Middleware and integration: Internal Rest API, Keycloak (SSO), RabbitMQ, Conductor, Redis Additional information: - Type of contract: CDI, executive status - Remuneration: Depending on profile and experience, between 42 and 46K€ gross/year - Advantages: RTT, restaurant vouchers, attractive mutual insurance, impactful sector of activity, - Environment: Position based in Toulouse (31), teleworking up to 2 days per week - Stimulating and friendly working environment. If you would like to join a dynamic and caring structure, focused on meaningful projects, do not hesitate to send us your application! About us LHH Recruitment Solutions, a firm specializing in the recruitment and assessment of experts, executives and managers, supports you throughout your professional journey to build a Beautiful Working World. Listening to your ambitions, our recruitment specialists advise and guide you in order to flourish and reach the next stage of your career in an inspiring and harmonious work environment. PROFILE :</x:v>
      </x:c>
      <x:c r="E179" s="5" t="str">
        <x:v>44000.0</x:v>
      </x:c>
      <x:c r="F179" s="5" t="str">
        <x:v>f2b15a0e-e65a-438a-affb-29b9d50b77d1</x:v>
      </x:c>
      <x:c r="G179" s="7" t="str">
        <x:v>["business requirements techniques", "continuous improvement philosophies", "recruit personnel"]</x:v>
      </x:c>
      <x:c r="H179" s="7" t="str">
        <x:v>[]</x:v>
      </x:c>
      <x:c r="I179" s="7" t="str">
        <x:v>[]</x:v>
      </x:c>
      <x:c r="J179" s="7" t="str">
        <x:v>[]</x:v>
      </x:c>
      <x:c r="K179" s="7" t="str">
        <x:v>["software"]</x:v>
      </x:c>
      <x:c r="L179" s="7" t="str">
        <x:v>["software", "cloud_devops"]</x:v>
      </x:c>
      <x:c r="M179" s="7" t="str">
        <x:v>["cloud_devops", "software"]</x:v>
      </x:c>
      <x:c r="N179" s="7" t="str">
        <x:v>["software"]</x:v>
      </x:c>
      <x:c r="O179" s="7" t="str">
        <x:v>["title", "description"]</x:v>
      </x:c>
      <x:c r="P179" s="7" t="str">
        <x:v>[]</x:v>
      </x:c>
      <x:c r="Q179" s="8" t="str">
        <x:v>yes</x:v>
      </x:c>
      <x:c r="R179" s="8" t="str">
        <x:v>yes</x:v>
      </x:c>
      <x:c r="S179" s="8" t="str">
        <x:v>yes</x:v>
      </x:c>
      <x:c r="T179" s="7" t="str">
        <x:v>Reviewed against title, duties, mapped skills and detection sources.</x:v>
      </x:c>
    </x:row>
    <x:row r="180">
      <x:c r="A180" s="5" t="str">
        <x:v>software</x:v>
      </x:c>
      <x:c r="B180" s="5" t="str">
        <x:v>751501//DEV FULLSTACK</x:v>
      </x:c>
      <x:c r="C180" s="7" t="str">
        <x:v>Full-Stack Angular/Java Software Developer (M/F)</x:v>
      </x:c>
      <x:c r="D180" s="7" t="str">
        <x:v>Within the Research and Development Department, you ensure the maintenance and development of the website associated with one of our systems, by designing, developing and validating new products. *Your missions: - Develop new features and improve our hardware and software products. - Code the front-end (Angular) and back-end (Java) components. - Carry out unit and integration tests to guarantee the reliability and quality of developments. - Assist and provide support during user acceptance phases, in order to validate deliverables. - Write and update technical documentation relating to projects. Your technical environment: - Back-end: Java, Maven, Spring Boot, Hibernate. - Front-end: Angular, TypeScript. - RDBMS: MySQL. - Scripts: Bat, Shell. - Configuration management: git, gitlab. - OS: Linux, Windows. Engineer or Master's degree in IT, or related field, and you have a minimum experience of 5 years for a similar position. You have strong skills in Full-Stack development, particularly in the Angular framework and Java language.</x:v>
      </x:c>
      <x:c r="E180" s="5" t="str">
        <x:v>52500.0</x:v>
      </x:c>
      <x:c r="F180" s="5" t="str">
        <x:v>d0aa0792-4345-474b-9365-686cf4869d2e</x:v>
      </x:c>
      <x:c r="G180" s="7" t="str">
        <x:v>["Apache Maven", "Java (computer programming)", "TypeScript", "demonstrate functionality of software products", "draft project documentation", "manage maintenance operations"]</x:v>
      </x:c>
      <x:c r="H180" s="7" t="str">
        <x:v>["Java (computer programming)", "TypeScript"]</x:v>
      </x:c>
      <x:c r="I180" s="7" t="str">
        <x:v>[]</x:v>
      </x:c>
      <x:c r="J180" s="7" t="str">
        <x:v>["software"]</x:v>
      </x:c>
      <x:c r="K180" s="7" t="str">
        <x:v>["software"]</x:v>
      </x:c>
      <x:c r="L180" s="7" t="str">
        <x:v>["data_engineering", "software", "networks_systems"]</x:v>
      </x:c>
      <x:c r="M180" s="7" t="str">
        <x:v>["data_engineering", "networks_systems", "software"]</x:v>
      </x:c>
      <x:c r="N180" s="7" t="str">
        <x:v>["software"]</x:v>
      </x:c>
      <x:c r="O180" s="7" t="str">
        <x:v>["esco", "title", "description"]</x:v>
      </x:c>
      <x:c r="P180" s="7" t="str">
        <x:v>[]</x:v>
      </x:c>
      <x:c r="Q180" s="8" t="str">
        <x:v>yes</x:v>
      </x:c>
      <x:c r="R180" s="8" t="str">
        <x:v>yes</x:v>
      </x:c>
      <x:c r="S180" s="8" t="str">
        <x:v>yes</x:v>
      </x:c>
      <x:c r="T180" s="7" t="str">
        <x:v>Reviewed against title, duties, mapped skills and detection sources.</x:v>
      </x:c>
    </x:row>
    <x:row r="181">
      <x:c r="A181" s="5" t="str">
        <x:v>software</x:v>
      </x:c>
      <x:c r="B181" s="5" t="str">
        <x:v>203PSGK</x:v>
      </x:c>
      <x:c r="C181" s="7" t="str">
        <x:v>Developpeur territorial (H/F)</x:v>
      </x:c>
      <x:c r="D181" s="7" t="str">
        <x:v>THE POSITION: The Land Prospector carries out research with our mapping service and land security for our new wind, photovoltaic and hydroelectric projects. He/she manages the processes, from identifying potential to validating the feasibility of the project in close collaboration with the development department. Committed to communities, elected officials from the wider territory, farm owners and operators, you deliver a project ready to be developed by supporting the dynamics of the territory. With the support of our design office (GIS, cartographer, remote sensing, geomatics) and development teams, the land prospector carries out the following missions: - Validate areas and territories with real development potential with the support of the 3 directions of wind/photovoltaic/hydroelectric development - Gather environmental, economic, town planning, technical (connections) issues - Identify the owners of commercial, industrial buildings, of production assets already in operation, land owners, local players in the construction and real estate development sector - Ensure contact with communities, local players in the territory, land owners, players in the construction and real estate development sector - Negotiate and obtain agreements in principle with elected officials (deliberations and conventions), engage owners and operators on land agreements. - Support actions in the region with development directors, their teams and support functions, by relaying information from your network across the territory - Initialize the documentary base to secure the project and invest in its development, in conjunction with the office manager - Develop a network of partners (industrialists, business providers, real estate agencies, etc.) to access new development opportunities in renewable energies Prospecting requires great mobility over a geographical area controlled in consultation with the development direction. It has great autonomy within the framework of defined objectives and under the responsibility of the Development departments. within an expert team for 23 years in the development, construction and operation of green energy production plants. We inject 100Gwh/year and what if you participated? With commercial training, generalized, real estate, land, business manager from the sectors of ENR, (notarial studies, promoters, general companies), construction (surveyor's office), Agricultural (Safer) you have a perfect mastery of commercial techniques, you have successful experience in prospecting, trade, real estate development or land dedicated to the energy sector. You have a good command of IT tools: Office pack, Internet, task manager and schedule management. Essential qualities: Dynamic, convincing, good ability to communicate and convince, interpersonal skills, good listening skills, team spirit, positive and motivated attitude, curiosity, adaptability, autonomy. Your sense of negotiation and your ability to build solid and strong links with your prospects and customers are assets to successfully carry out your missions. You know the world of communities, the agricultural world, and that of construction. You have a basic technical culture in construction and electricity. You have a real interest in the development of renewable energies and know their principles. Positions open in Montpellier, Lyon. If you match this profile, don't wait! send your CV!</x:v>
      </x:c>
      <x:c r="E181" s="5" t="str">
        <x:v>60000.0</x:v>
      </x:c>
      <x:c r="F181" s="5" t="str">
        <x:v>b9711647-463f-4991-a858-d5de66ff2f83</x:v>
      </x:c>
      <x:c r="G181" s="7" t="str">
        <x:v>["adapt to change", "cartography", "conduct surveying activities for construction purposes", "demonstrate curiosity", "geomatics", "hydroelectricity", "manage time", "negotiate compromises", "patient autonomy", "photovoltaic systems", "remote sensing techniques"]</x:v>
      </x:c>
      <x:c r="H181" s="7" t="str">
        <x:v>[]</x:v>
      </x:c>
      <x:c r="I181" s="7" t="str">
        <x:v>["adapt to change", "demonstrate curiosity", "negotiate compromises"]</x:v>
      </x:c>
      <x:c r="J181" s="7" t="str">
        <x:v>[]</x:v>
      </x:c>
      <x:c r="K181" s="7" t="str">
        <x:v>["software"]</x:v>
      </x:c>
      <x:c r="L181" s="7" t="str">
        <x:v>[]</x:v>
      </x:c>
      <x:c r="M181" s="7" t="str">
        <x:v>["software"]</x:v>
      </x:c>
      <x:c r="N181" s="7" t="str">
        <x:v>["software"]</x:v>
      </x:c>
      <x:c r="O181" s="7" t="str">
        <x:v>["title"]</x:v>
      </x:c>
      <x:c r="P181" s="7" t="str">
        <x:v>["adaptability", "communication", "creativity"]</x:v>
      </x:c>
      <x:c r="Q181" s="8" t="str">
        <x:v>no</x:v>
      </x:c>
      <x:c r="R181" s="8" t="str">
        <x:v>no</x:v>
      </x:c>
      <x:c r="S181" s="8" t="str">
        <x:v>yes</x:v>
      </x:c>
      <x:c r="T181" s="7" t="str">
        <x:v>False positive: land/territory developer για έργα ΑΠΕ, όχι software developer.</x:v>
      </x:c>
    </x:row>
    <x:row r="182">
      <x:c r="A182" s="5" t="str">
        <x:v>software</x:v>
      </x:c>
      <x:c r="B182" s="5" t="str">
        <x:v>90p7obapfp</x:v>
      </x:c>
      <x:c r="C182" s="7" t="str">
        <x:v>DATA PROJECT MANAGER (M/F)</x:v>
      </x:c>
      <x:c r="D182" s="7" t="str">
        <x:v>RESPONSIBILITIES: You will contribute to the integration and optimization of data within the company's information system • Analyze business needs and write technical and functional specifications • Develop data flows with ETL Talend and ensure their integration into SalesForce • Collaborate with the DSI teams to guarantee successful production and post-implementation support • Actively participate in artificial intelligence projects and contribute to technological developments • Ensure innovation and continuous improvement of the information system by carrying out technological monitoring PROFILE WANTED: Training and experience We are looking for a Data Project Manager to manage information systems integration and optimization projects. • 5 years of experience in Talend ETL development, knowledge of Batch and API • Mastery of SalesForce flows and processes, as well as SQL, Java, Python languages • Ability to write detailed technical and functional specifications • Recognized analytical and problem-solving skills • Proven ability to work in a team and essential communication skills • Bac +4/5 diploma in IT or equivalent required, French and English mandatory What we offer: • Contract: Permanent contract • Date start of the contract: As soon as possible • Salary: between €50,000 and €55,000 gross/year over 13.5 months • Full-time mission: 35 hours/week • Bonuses + Packed lunch Apply now and we will get back to you as quickly as possible!</x:v>
      </x:c>
      <x:c r="E182" s="5" t="str">
        <x:v>52500.0</x:v>
      </x:c>
      <x:c r="F182" s="5" t="str">
        <x:v>bea99fea-0383-4c63-b944-70d4799de2c5</x:v>
      </x:c>
      <x:c r="G182" s="7" t="str">
        <x:v>["Java (computer programming)", "Python (computer programming)", "adapt to changes in technological development plans", "write technical reports"]</x:v>
      </x:c>
      <x:c r="H182" s="7" t="str">
        <x:v>["Java (computer programming)", "Python (computer programming)"]</x:v>
      </x:c>
      <x:c r="I182" s="7" t="str">
        <x:v>[]</x:v>
      </x:c>
      <x:c r="J182" s="7" t="str">
        <x:v>["data_analysis", "software"]</x:v>
      </x:c>
      <x:c r="K182" s="7" t="str">
        <x:v>[]</x:v>
      </x:c>
      <x:c r="L182" s="7" t="str">
        <x:v>["ai_ml", "data_engineering", "software"]</x:v>
      </x:c>
      <x:c r="M182" s="7" t="str">
        <x:v>["ai_ml", "data_analysis", "data_engineering", "software"]</x:v>
      </x:c>
      <x:c r="N182" s="7" t="str">
        <x:v>["software"]</x:v>
      </x:c>
      <x:c r="O182" s="7" t="str">
        <x:v>["esco", "description"]</x:v>
      </x:c>
      <x:c r="P182" s="7" t="str">
        <x:v>[]</x:v>
      </x:c>
      <x:c r="Q182" s="8" t="str">
        <x:v>yes</x:v>
      </x:c>
      <x:c r="R182" s="8" t="str">
        <x:v>no</x:v>
      </x:c>
      <x:c r="S182" s="8" t="str">
        <x:v>yes</x:v>
      </x:c>
      <x:c r="T182" s="7" t="str">
        <x:v>Data/ETL integration role: απαιτούνται data engineering/analysis κατηγορίες, όχι μόνο software.</x:v>
      </x:c>
    </x:row>
    <x:row r="183">
      <x:c r="A183" s="5" t="str">
        <x:v>software</x:v>
      </x:c>
      <x:c r="B183" s="5" t="str">
        <x:v>202YYZJ</x:v>
      </x:c>
      <x:c r="C183" s="7" t="str">
        <x:v>Software Test Engineer / Application Tester (M/F)</x:v>
      </x:c>
      <x:c r="D183" s="7" t="str">
        <x:v>The position As part of strengthening its Software Quality department, your future employer is looking for a Software Test / QA Engineer, this involves the creation of a position reporting to the team manager. You will be in a team of 5 Quality testing employees, you will work on the quality of the various deliveries. Depending on the projects assigned, you work with different members of the development and PO teams and business contacts. You work on three scopes: - Deliveries of new software offers used by the publisher's customers (B to B) - New functionalities of the various applications delivered, - Existing software: improvement or correction project You guarantee the quality of your functional and technical tests. You minimize anomalies in production, participate in improvement and guarantee the reliability of the applications entrusted to you. Your missions: Daily Test &amp; Quality missions: - Write and implement tests (technical and functional) - Define, develop, write and monitor functional tests linked to User Stories (US) - Perform, write and monitor integration tests - Write and monitor non-regression tests (TNR), update the catalog - Perform automatic tests - Correct certain anomalies, or transmit anomalies and monitor resolutions - Participate in the validation of versions before their release into production in relation with people from the technical and business teams Management of your projects: - Collect user needs according to the projects - Ensure fluid communication between teams and ensure the proper application of commitments - Intervene on projects at different phases of the software life cycle - Organize your work, communicate on the progress of your projects - Respect quality procedures - Propose organizational improvements, monitor your scope The position is highly scalable depending on your profile and your wishes, for example in junior support or communication between departments. Guarantor of your area of ​​expertise, you will intervene directly on all or part of the projects. Your profile: Graduate of BAC +3 to BAC +5 in computer science from university or engineering school, you have significant experience in test piloting and QA team management, ideally acquired in a software publishing environment or in an internal development team of a certain size. You have management experience. You know how to unite your teams and the teams working within your scope, encourage continuous improvement and establish a sustainable quality culture. You have already structured and improved a testing organization that is both rigorous and flexible, ideally on projects organized using Agile/Scrum methodologies. You master the software life cycle and project management. You are comfortable with test management and automation tools (e.g. JIRA, Confluence, Selenium, Postman or JMETER.). You are familiar with certain ticketing tools (e.g. JIRA/Confluence type). You are sensitive to new technologies. You have knowledge of IT development (object language e.g. Java, Angular and/or API (Rest.) and/or Script). You have a good command of functional and technical testing. Know the standards and procedures related to your profession. You know how to build specifications and deliver quality deliverables. You have good interpersonal skills, ease in team and customer communication. Your listening skills are recognized. You are rigorous, organized and proactive. You like working on stimulating, impactful and fast-growing projects.</x:v>
      </x:c>
      <x:c r="E183" s="5" t="str">
        <x:v>47500.0</x:v>
      </x:c>
      <x:c r="F183" s="5" t="str">
        <x:v>92bb3d8c-8a9f-4cd7-80ec-247bbf173004</x:v>
      </x:c>
      <x:c r="G183" s="7" t="str">
        <x:v>["Angular", "Java (computer programming)", "communicate with customer service department", "communicate with customers", "continuous improvement philosophies", "develop ICT test suite", "electronic test procedures", "monitor the conformance to the project methodology", "perform project management", "software design methodologies", "tools for ICT test automation"]</x:v>
      </x:c>
      <x:c r="H183" s="7" t="str">
        <x:v>["Angular", "Java (computer programming)"]</x:v>
      </x:c>
      <x:c r="I183" s="7" t="str">
        <x:v>["communicate with customer service department", "communicate with customers"]</x:v>
      </x:c>
      <x:c r="J183" s="7" t="str">
        <x:v>["software"]</x:v>
      </x:c>
      <x:c r="K183" s="7" t="str">
        <x:v>[]</x:v>
      </x:c>
      <x:c r="L183" s="7" t="str">
        <x:v>["software"]</x:v>
      </x:c>
      <x:c r="M183" s="7" t="str">
        <x:v>["software"]</x:v>
      </x:c>
      <x:c r="N183" s="7" t="str">
        <x:v>["software"]</x:v>
      </x:c>
      <x:c r="O183" s="7" t="str">
        <x:v>["esco", "description"]</x:v>
      </x:c>
      <x:c r="P183" s="7" t="str">
        <x:v>["communication", "customer_interaction"]</x:v>
      </x:c>
      <x:c r="Q183" s="8" t="str">
        <x:v>yes</x:v>
      </x:c>
      <x:c r="R183" s="8" t="str">
        <x:v>yes</x:v>
      </x:c>
      <x:c r="S183" s="8" t="str">
        <x:v>yes</x:v>
      </x:c>
      <x:c r="T183" s="7" t="str">
        <x:v>Reviewed against title, duties, mapped skills and detection sources.</x:v>
      </x:c>
    </x:row>
    <x:row r="184">
      <x:c r="A184" s="5" t="str">
        <x:v>software</x:v>
      </x:c>
      <x:c r="B184" s="5" t="str">
        <x:v>751523//</x:v>
      </x:c>
      <x:c r="C184" s="7" t="str">
        <x:v>IT applications manager M/F</x:v>
      </x:c>
      <x:c r="D184" s="7" t="str">
        <x:v>-Development and maintenance of applications deployed on-premise, as well as web and mobile applications -Integration with industrial ERP in IBM i environment -Collaboration with internal teams and international groups -Support for users to collect and formalize their functional needs -Rigorous documentation of developments carried out -Technology monitoring to propose innovative solutions -Full-stack skills: front-end and back-end -Good knowledge of the IBM i environment -Proficiency in oral and written English -Patience and good listening skills -Technical curiosity and passion for new technologies -Rigour in documentation and code quality -Autonomous, rigorous, curious, organized, proactive and team spirit -Knowledge of the RPG and JAVA programming language</x:v>
      </x:c>
      <x:c r="E184" s="5" t="str">
        <x:v>45000.0</x:v>
      </x:c>
      <x:c r="F184" s="5" t="str">
        <x:v>e3229e40-f571-4b26-baca-29edc8fe313e</x:v>
      </x:c>
      <x:c r="G184" s="7" t="str">
        <x:v>["Java (computer programming)", "provide user documentation"]</x:v>
      </x:c>
      <x:c r="H184" s="7" t="str">
        <x:v>["Java (computer programming)"]</x:v>
      </x:c>
      <x:c r="I184" s="7" t="str">
        <x:v>[]</x:v>
      </x:c>
      <x:c r="J184" s="7" t="str">
        <x:v>["software"]</x:v>
      </x:c>
      <x:c r="K184" s="7" t="str">
        <x:v>[]</x:v>
      </x:c>
      <x:c r="L184" s="7" t="str">
        <x:v>["software"]</x:v>
      </x:c>
      <x:c r="M184" s="7" t="str">
        <x:v>["software"]</x:v>
      </x:c>
      <x:c r="N184" s="7" t="str">
        <x:v>["software"]</x:v>
      </x:c>
      <x:c r="O184" s="7" t="str">
        <x:v>["esco", "description"]</x:v>
      </x:c>
      <x:c r="P184" s="7" t="str">
        <x:v>[]</x:v>
      </x:c>
      <x:c r="Q184" s="8" t="str">
        <x:v>yes</x:v>
      </x:c>
      <x:c r="R184" s="8" t="str">
        <x:v>yes</x:v>
      </x:c>
      <x:c r="S184" s="8" t="str">
        <x:v>yes</x:v>
      </x:c>
      <x:c r="T184" s="7" t="str">
        <x:v>Reviewed against title, duties, mapped skills and detection sources.</x:v>
      </x:c>
    </x:row>
    <x:row r="185">
      <x:c r="A185" s="5" t="str">
        <x:v>software</x:v>
      </x:c>
      <x:c r="B185" s="5" t="str">
        <x:v>27684890</x:v>
      </x:c>
      <x:c r="C185" s="7" t="str">
        <x:v>Senior .NET Developer - Full remote (M/F)</x:v>
      </x:c>
      <x:c r="D185" s="7" t="str">
        <x:v>We are recruiting for our client, a software publisher recognized in its sector of activity, a Senior .NET Developer M/F. Within a team of 8 people under the responsibility of Tech Lead, your missions are: - The design and development of web applications - Maintaining products in operational conditions and incident management - Being in charge of the integration of new features and optimizing performance - Participating in software architecture choices and code reviews - Implementing best practices, ergonomics and performance are an integral part of the code you produce - Collaborating with the product teams to guarantee optimal user experience The position is to be filled on a permanent, full remote basis, with occasional travel. You have a BAC+5 IT training qualification and you have solid experience (at least 6 years on a permanent contract) acquired in a similar position. You have advanced technical skills in developing applications in C# and .NET You have a good command of SQL and Javascript (mastery of the Angular framework is a big plus). With a good sense of analysis and synthesis, you demonstrate rigor, a lively and curious mind, you are used to working in a team and have good autonomy and communication skills.</x:v>
      </x:c>
      <x:c r="E185" s="5" t="str">
        <x:v>45000.0</x:v>
      </x:c>
      <x:c r="F185" s="5" t="str">
        <x:v>bd272aee-adc9-4a06-a15c-a73b4b4a46a7</x:v>
      </x:c>
      <x:c r="G185" s="7" t="str">
        <x:v>["C#", "SQL", "authoring software", "ergonomics"]</x:v>
      </x:c>
      <x:c r="H185" s="7" t="str">
        <x:v>["C#", "SQL"]</x:v>
      </x:c>
      <x:c r="I185" s="7" t="str">
        <x:v>[]</x:v>
      </x:c>
      <x:c r="J185" s="7" t="str">
        <x:v>["data_analysis", "software"]</x:v>
      </x:c>
      <x:c r="K185" s="7" t="str">
        <x:v>[]</x:v>
      </x:c>
      <x:c r="L185" s="7" t="str">
        <x:v>["software"]</x:v>
      </x:c>
      <x:c r="M185" s="7" t="str">
        <x:v>["data_analysis", "software"]</x:v>
      </x:c>
      <x:c r="N185" s="7" t="str">
        <x:v>["software"]</x:v>
      </x:c>
      <x:c r="O185" s="7" t="str">
        <x:v>["esco", "description"]</x:v>
      </x:c>
      <x:c r="P185" s="7" t="str">
        <x:v>[]</x:v>
      </x:c>
      <x:c r="Q185" s="8" t="str">
        <x:v>yes</x:v>
      </x:c>
      <x:c r="R185" s="8" t="str">
        <x:v>yes</x:v>
      </x:c>
      <x:c r="S185" s="8" t="str">
        <x:v>yes</x:v>
      </x:c>
      <x:c r="T185" s="7" t="str">
        <x:v>Reviewed against title, duties, mapped skills and detection sources.</x:v>
      </x:c>
    </x:row>
    <x:row r="186">
      <x:c r="A186" s="5" t="str">
        <x:v>software</x:v>
      </x:c>
      <x:c r="B186" s="5" t="str">
        <x:v>52076116</x:v>
      </x:c>
      <x:c r="C186" s="7" t="str">
        <x:v>JAVA Developer (M/F)</x:v>
      </x:c>
      <x:c r="D186" s="7" t="str">
        <x:v>Job description: Your missions Analyze needs in the field in order to propose adapted and relevant solutions.***Write technical specifications and architecture, ensuring their clarity and precision.***Design and code technical solutions, while respecting functional and technical requirements.***Perform in-depth tests to ensure the quality and reliability of developments.***Create and maintain complete technical documentation, useful for the teams and the sustainability of the project.***Take charge of evolutionary maintenance and corrective, ensuring continuous improvement.***Collaborate closely with services, listening to them to meet their daily needs. Other information Department: Information Technology***Type of contract: Permanent contract (CDI), Full-time***Duration of contract: indefinite***Start date: as soon as possible***Schedule: 8:00 a.m. - 12:00 p.m. and 12:50 p.m. - 4:50 p.m. Monday to Thursday and 8:00 a.m. - 12:00 p.m. and 12:50 p.m. - 3:50 p.m. on Friday (i.e. a total of 39 hours per week)***Position location: Nogent-sur-Seine, Aube (10), Grand Est, France - near Romilly-sur-Seine (10), Troyes (10), Sézanne (51), Montereau-Fault-Yonne (77), Nangis (77), Provins (77) and Sens (89), 54 min direct from Paris by train***Travel: to Nogent-sur-Seine***Teleworking : no***Position open to people with disabilities Profile description: Your profile Open source programming with one of the languages or similar Python, Java, C#***SQL***Very communicative***Rigour***Analytical ability***Fluent level of English and French required (spoken and written)***Understanding of company processes***Use of an ERP</x:v>
      </x:c>
      <x:c r="E186" s="5" t="str">
        <x:v>40000.0</x:v>
      </x:c>
      <x:c r="F186" s="5" t="str">
        <x:v>f2b15a0e-e65a-438a-affb-29b9d50b77d1</x:v>
      </x:c>
      <x:c r="G186" s="7" t="str">
        <x:v>["Java (computer programming)", "continuous improvement philosophies", "define technical requirements", "provide technical documentation", "satisfy technical requirements"]</x:v>
      </x:c>
      <x:c r="H186" s="7" t="str">
        <x:v>["Java (computer programming)"]</x:v>
      </x:c>
      <x:c r="I186" s="7" t="str">
        <x:v>[]</x:v>
      </x:c>
      <x:c r="J186" s="7" t="str">
        <x:v>["software"]</x:v>
      </x:c>
      <x:c r="K186" s="7" t="str">
        <x:v>["software"]</x:v>
      </x:c>
      <x:c r="L186" s="7" t="str">
        <x:v>["software"]</x:v>
      </x:c>
      <x:c r="M186" s="7" t="str">
        <x:v>["software"]</x:v>
      </x:c>
      <x:c r="N186" s="7" t="str">
        <x:v>["software"]</x:v>
      </x:c>
      <x:c r="O186" s="7" t="str">
        <x:v>["esco", "title", "description"]</x:v>
      </x:c>
      <x:c r="P186" s="7" t="str">
        <x:v>[]</x:v>
      </x:c>
      <x:c r="Q186" s="8" t="str">
        <x:v>yes</x:v>
      </x:c>
      <x:c r="R186" s="8" t="str">
        <x:v>yes</x:v>
      </x:c>
      <x:c r="S186" s="8" t="str">
        <x:v>yes</x:v>
      </x:c>
      <x:c r="T186" s="7" t="str">
        <x:v>Reviewed against title, duties, mapped skills and detection sources.</x:v>
      </x:c>
    </x:row>
    <x:row r="187">
      <x:c r="A187" s="5" t="str">
        <x:v>software</x:v>
      </x:c>
      <x:c r="B187" s="5" t="str">
        <x:v>203SWHN</x:v>
      </x:c>
      <x:c r="C187" s="7" t="str">
        <x:v>C# Developer (M/F)</x:v>
      </x:c>
      <x:c r="D187" s="7" t="str">
        <x:v>As part of strengthening its team, Holenek is looking for a .NET Developer for one of its clients to join the Information Systems Department. You will join the team in charge of Computer Aided Design (CAD) tools, at the heart of technical projects with high added value. Your missions As a .NET Developer, you will be involved in the entire life cycle of applications and will have the following main responsibilities: * Design, develop and maintain specific applications and tools related to CAD * Implement functionalities in C#/.NET and VB.NET in line with business needs * Guarantee code quality via unit tests and continuous integration (Git) * Design and maintain advanced SQL queries for processing significant volumes of data from CAD tools * Carry out SQL tuning: performance analysis, optimization of indexes and execution plans * Ensure the reliability, performance and robustness of data exchanges between the different systems Technical stack * .NET development (versions &gt; 4.8, 8, 9, 10) * C# (LINQ.) * WPF * Entity Framework * SQL Server * Git What our client offers * Family mutual insurance supported at 60% by the employer * 70% coverage of transport costs * A stimulating technical environment and concrete projects with strong business impact * A team on a human scale, oriented towards collaboration and quality * Minimum 3 years of experience in a similar position * To be able to intervene on this type of project, authorization is necessary. * Good command of written and spoken English is necessary * A plus would be experience working in a CAD environment. Your expertise, our common strength * Mastery of .net (C#, VB.NET) * Advanced SQL knowledge (performance optimization sensitivity, tuning experience on SQL server) * Mastery of Mathematical concepts allowing geometric calculations in the plan or space Your human qualities, our shared values * Ability to communicate effectively with both IT and business contacts * Rigorous on the quality of developments and on respecting the schedule (significant commitment expected) * Ability to quickly take charge of a technical subject, to prioritize tasks and meet deadlines * Strength of proposal to improve performance or simplify existing processes</x:v>
      </x:c>
      <x:c r="E187" s="5" t="str">
        <x:v>40000.0</x:v>
      </x:c>
      <x:c r="F187" s="5" t="str">
        <x:v>f2b15a0e-e65a-438a-affb-29b9d50b77d1</x:v>
      </x:c>
      <x:c r="G187" s="7" t="str">
        <x:v>["CAD software", "LINQ", "Visual Basic"]</x:v>
      </x:c>
      <x:c r="H187" s="7" t="str">
        <x:v>[]</x:v>
      </x:c>
      <x:c r="I187" s="7" t="str">
        <x:v>[]</x:v>
      </x:c>
      <x:c r="J187" s="7" t="str">
        <x:v>[]</x:v>
      </x:c>
      <x:c r="K187" s="7" t="str">
        <x:v>["software"]</x:v>
      </x:c>
      <x:c r="L187" s="7" t="str">
        <x:v>["data_engineering", "software"]</x:v>
      </x:c>
      <x:c r="M187" s="7" t="str">
        <x:v>["data_engineering", "software"]</x:v>
      </x:c>
      <x:c r="N187" s="7" t="str">
        <x:v>["software"]</x:v>
      </x:c>
      <x:c r="O187" s="7" t="str">
        <x:v>["title", "description"]</x:v>
      </x:c>
      <x:c r="P187" s="7" t="str">
        <x:v>[]</x:v>
      </x:c>
      <x:c r="Q187" s="8" t="str">
        <x:v>yes</x:v>
      </x:c>
      <x:c r="R187" s="8" t="str">
        <x:v>yes</x:v>
      </x:c>
      <x:c r="S187" s="8" t="str">
        <x:v>yes</x:v>
      </x:c>
      <x:c r="T187" s="7" t="str">
        <x:v>Reviewed against title, duties, mapped skills and detection sources.</x:v>
      </x:c>
    </x:row>
    <x:row r="188">
      <x:c r="A188" s="5" t="str">
        <x:v>software</x:v>
      </x:c>
      <x:c r="B188" s="5" t="str">
        <x:v>7378112</x:v>
      </x:c>
      <x:c r="C188" s="7" t="str">
        <x:v>Embedded Developer / Firmware Engineer (M/F)</x:v>
      </x:c>
      <x:c r="D188" s="7" t="str">
        <x:v>Enterprise Link Consulting is a reliable partner for our many SME, mid-sized and large accounts clients at the national level. With us, offer your career new perspectives: evolution, challenge, professional development. Thanks to its dynamic and innovative structure, Link Consulting promotes initiative and freedom of enterprise. Let's move forward together towards the adventure that inspires you. This mission announcement was written under the editorial responsibility of Thomas ADOUE, independent agent, commercial agent of SAS Link Consulting. Find all our offers on our site: Position As part of existing projects within an industrial and technical environment, we are looking for an autonomous embedded developer to work on maintenance, development and version upgrade activities for products already in place. The consultant will work in a context mixing R&amp;D and industrialized products, with strong interaction with internal teams. The role requires both solid technical skills and a real ability to interface, propose and advance topics. Your missions: * Maintenance and evolution of existing embedded software * Version upgrades and improvement of existing * Embedded C development on microcontrollers * Configuration and use of an RTOS (FreeRTOS, Zephyr or equivalent) * Participation in testing, validation and qualification phases * Interface with technical teams (frequent exchanges, clarification of needs) * Force of proposal on technical choices and continuous improvement Technical skills * Language: embedded C * RTOS: FreeRTOS / Zephyr (or equivalent) * Microcontrollers: MCU environment (references to be specified) * Tools: Git, VS Code, E2 Studio * Validation / tests: active participation (dev + test + validation) * Connectivity: experience appreciated (BLE in particular), without being central Profile Your profile: * Confirmed / senior embedded developer * Very good autonomy and resourcefulness * Comfortable with taking over existing code, understanding code already in place and evolving it * Able to configure an RTOS, not only to use it * Comfortable in a cross-functional role: coding, testing, validating and exchanging * Pragmatic, solution-oriented mind * Experience in industrial environments or embedded products * Knowledge of connectivity (BLE) * Python for scripts or testing tools * Accustomed to long-term projects The recruitment process We apply a structured, rapid and transparent process: 1. An initial exchange (telephone or by email) to understand your expectations and validate the key elements of the position (mobility, TJM/salary, availability, etc.). 2. An interview (physical or video) to deepen the technical, logistical or contextual aspects linked to the mission. 3. Sending your complete file to the client. 4. An interview with the end customer, if your profile is selected. At Link Consulting, we strive to get our clients to meet with you quickly, to ensure an efficient and responsive process. The process can be adapted according to the specifics of the mission or the client's requirements. The advantages Teleworking conditions: On site initially Financial conditions: To be discussed according to profile: between 400 and 500 euros / day Link Consulting is freedom and choice.</x:v>
      </x:c>
      <x:c r="E188" s="5" t="str">
        <x:v>50000.0</x:v>
      </x:c>
      <x:c r="F188" s="5" t="str">
        <x:v>57af9090-55b4-4911-b2d0-86db01c00b02</x:v>
      </x:c>
      <x:c r="G188" s="7" t="str">
        <x:v>["identify clients' needs", "manage personal professional development", "use scripting programming"]</x:v>
      </x:c>
      <x:c r="H188" s="7" t="str">
        <x:v>[]</x:v>
      </x:c>
      <x:c r="I188" s="7" t="str">
        <x:v>[]</x:v>
      </x:c>
      <x:c r="J188" s="7" t="str">
        <x:v>[]</x:v>
      </x:c>
      <x:c r="K188" s="7" t="str">
        <x:v>["software"]</x:v>
      </x:c>
      <x:c r="L188" s="7" t="str">
        <x:v>[]</x:v>
      </x:c>
      <x:c r="M188" s="7" t="str">
        <x:v>["software"]</x:v>
      </x:c>
      <x:c r="N188" s="7" t="str">
        <x:v>["software"]</x:v>
      </x:c>
      <x:c r="O188" s="7" t="str">
        <x:v>["title"]</x:v>
      </x:c>
      <x:c r="P188" s="7" t="str">
        <x:v>[]</x:v>
      </x:c>
      <x:c r="Q188" s="8" t="str">
        <x:v>yes</x:v>
      </x:c>
      <x:c r="R188" s="8" t="str">
        <x:v>yes</x:v>
      </x:c>
      <x:c r="S188" s="8" t="str">
        <x:v>yes</x:v>
      </x:c>
      <x:c r="T188" s="7" t="str">
        <x:v>Reviewed against title, duties, mapped skills and detection sources.</x:v>
      </x:c>
    </x:row>
    <x:row r="189">
      <x:c r="A189" s="5" t="str">
        <x:v>software</x:v>
      </x:c>
      <x:c r="B189" s="5" t="str">
        <x:v>28375958</x:v>
      </x:c>
      <x:c r="C189" s="7" t="str">
        <x:v>C# Developer Analyst (M/F)</x:v>
      </x:c>
      <x:c r="D189" s="7" t="str">
        <x:v>Euro-Information, the technological subsidiary of Crédit Mutuel Alliance Fédérale, designs, creates, maintains and operates a common information system used by the Group. IT development and production activities at the national and international level are carried out by around 4,000 employees spread across several geographical sites at the national level: Strasbourg, Nancy, Dijon, Orléans, Lyon, Lille, Cergy, Val de Fontenay, Paris and Nantes. The first Bank to adopt the status of a mission-driven company, Crédit Mutuel Alliance Fédérale is invested and committed to various social and environmental missions: - Supporting everyone through our cooperative and mutualist organization remains at the heart of our DNA. - Technology serving people is a benchmark in our connected world. - Solidarity and eco-responsibility are becoming key axes in our development. Our purpose: Together, Listen and Act. The IT team in which you will be integrated takes care of the management of the evolutionary and corrective maintenance of various internal applications at Euro-Information: - Management of Probabilistic Modeling for Operational Risks - Management of the Risk Rating for Large Accounts - Management of Data Quality controls of the information system - Management of calculation for Leveraged Operations Your main responsibilities will be to: - Participate in the migration of our applications into our private CLOUD - Design and develop the team's C# ASP.NET developments (GitLab Versioning Tool) - Respect the quality approach processes (development standards, code quality, performance and reliability of our applications) - Participate in the development of new features - Be a force for proposals with the team, in close contact with the project management of Crédit Mutuel Alliance Fédérale. Developer analyst with good command of C# ASP.NET (SqlServer would be a plus). You are rigorous and organized, you have good analytical and synthesis skills, a sense of service, the ability to communicate, as well as a sense of teamwork.</x:v>
      </x:c>
      <x:c r="E189" s="5" t="str">
        <x:v>40000.0</x:v>
      </x:c>
      <x:c r="F189" s="5" t="str">
        <x:v>f2b15a0e-e65a-438a-affb-29b9d50b77d1</x:v>
      </x:c>
      <x:c r="G189" s="7" t="str">
        <x:v>["ASP.NET", "Iterative development", "manage commercial risks", "present artistic design proposals"]</x:v>
      </x:c>
      <x:c r="H189" s="7" t="str">
        <x:v>[]</x:v>
      </x:c>
      <x:c r="I189" s="7" t="str">
        <x:v>[]</x:v>
      </x:c>
      <x:c r="J189" s="7" t="str">
        <x:v>[]</x:v>
      </x:c>
      <x:c r="K189" s="7" t="str">
        <x:v>["software"]</x:v>
      </x:c>
      <x:c r="L189" s="7" t="str">
        <x:v>["software"]</x:v>
      </x:c>
      <x:c r="M189" s="7" t="str">
        <x:v>["software"]</x:v>
      </x:c>
      <x:c r="N189" s="7" t="str">
        <x:v>["software"]</x:v>
      </x:c>
      <x:c r="O189" s="7" t="str">
        <x:v>["title", "description"]</x:v>
      </x:c>
      <x:c r="P189" s="7" t="str">
        <x:v>[]</x:v>
      </x:c>
      <x:c r="Q189" s="8" t="str">
        <x:v>yes</x:v>
      </x:c>
      <x:c r="R189" s="8" t="str">
        <x:v>yes</x:v>
      </x:c>
      <x:c r="S189" s="8" t="str">
        <x:v>yes</x:v>
      </x:c>
      <x:c r="T189" s="7" t="str">
        <x:v>Reviewed against title, duties, mapped skills and detection sources.</x:v>
      </x:c>
    </x:row>
    <x:row r="190">
      <x:c r="A190" s="5" t="str">
        <x:v>software</x:v>
      </x:c>
      <x:c r="B190" s="5" t="str">
        <x:v>201BSCY</x:v>
      </x:c>
      <x:c r="C190" s="7" t="str">
        <x:v>Expert Fullstack PHP / Angular (H/F)</x:v>
      </x:c>
      <x:c r="D190" s="7" t="str">
        <x:v>As a TypeScript / Angular Expert, you are responsible for the development, evolution and maintenance of our ecosystem: Build side: - Design of solutions in line with the needs expressed by POs and business lines. - TypeScript / Angular 9 → 20 developments (possible migration to more recent versions). - Technical analysis and recommendations: best practices, development breakdown, Angular expertise. - Tests and assistance with application acceptance. - Assistance with production launch and post-MEP monitoring. - Contribution to user training and technical support for POs. - Participation in the technical definition of the hosting and supervision of micro-services deployed on Openshift. - Participate in carrying out the necessary developments on the Grafic-Back for the needs of the Front: developments of the GraphQL API. on a PHP 8.2 / Symfony 6.4 base. This is your background You have at least 4 to 5 years of experience in environments with demanding front-end projects. You enjoy designing, developing and modernizing HMIs without ever stopping innovating. You are looking for a setting where your ideas count and where technology goes hand in hand with collaboration. This is your expertise: - TypeScript / Angular (versions 9 to 20) - HMI development, GraphQL API, Front/Back ecosystems - Linux environments, Agile practices, DevOps - Openshift and micro-services monitoring</x:v>
      </x:c>
      <x:c r="E190" s="5" t="str">
        <x:v>42000.0</x:v>
      </x:c>
      <x:c r="F190" s="5" t="str">
        <x:v>57af9090-55b4-4911-b2d0-86db01c00b02</x:v>
      </x:c>
      <x:c r="G190" s="7" t="str">
        <x:v>["Agile development", "TypeScript"]</x:v>
      </x:c>
      <x:c r="H190" s="7" t="str">
        <x:v>["TypeScript"]</x:v>
      </x:c>
      <x:c r="I190" s="7" t="str">
        <x:v>[]</x:v>
      </x:c>
      <x:c r="J190" s="7" t="str">
        <x:v>["software"]</x:v>
      </x:c>
      <x:c r="K190" s="7" t="str">
        <x:v>["software"]</x:v>
      </x:c>
      <x:c r="L190" s="7" t="str">
        <x:v>["software", "cloud_devops", "networks_systems"]</x:v>
      </x:c>
      <x:c r="M190" s="7" t="str">
        <x:v>["cloud_devops", "networks_systems", "software"]</x:v>
      </x:c>
      <x:c r="N190" s="7" t="str">
        <x:v>["software"]</x:v>
      </x:c>
      <x:c r="O190" s="7" t="str">
        <x:v>["esco", "title", "description"]</x:v>
      </x:c>
      <x:c r="P190" s="7" t="str">
        <x:v>[]</x:v>
      </x:c>
      <x:c r="Q190" s="8" t="str">
        <x:v>yes</x:v>
      </x:c>
      <x:c r="R190" s="8" t="str">
        <x:v>yes</x:v>
      </x:c>
      <x:c r="S190" s="8" t="str">
        <x:v>yes</x:v>
      </x:c>
      <x:c r="T190" s="7" t="str">
        <x:v>Reviewed against title, duties, mapped skills and detection sources.</x:v>
      </x:c>
    </x:row>
    <x:row r="191">
      <x:c r="A191" s="5" t="str">
        <x:v>software</x:v>
      </x:c>
      <x:c r="B191" s="5" t="str">
        <x:v>27766812</x:v>
      </x:c>
      <x:c r="C191" s="7" t="str">
        <x:v>Experienced Java/Nuxeo Developer F/M</x:v>
      </x:c>
      <x:c r="D191" s="7" t="str">
        <x:v>The Coexya group, an independent digital player and multi-specialist (consulting, integration &amp; software), has more than 700 employees and supports companies in their digital transformation. Coexya works on numerous projects that contribute to societal progress (health, environment, digital responsibility, etc.). Respect for our values: commitment, respect and sharing, is an essential element of our corporate culture and this begins at the recruitment stage. THE CONTEXT In order to be able to support our customers more strongly, we are looking for an experienced Java/Nuxeo Developer F/M who will be able to join one of the teams in our Business Unit specializing in information management systems and content services. We support our clients in the implementation of information systems that meet the challenges of dematerialization of information, documents and processes. And for this, our teams design the most optimized solutions by relying on open-source technical bases or by creating innovative tailor-made solutions. Thus, within an experienced team, you will evolve in a modern technical context using the most recent technologies, all orchestrated by our DevOps standardization! WHAT WE OFFER YOU You will be integrated into our Nuxeo division to work on fixed-price or contract projects. Projects under management are regularly carried out in agile mode (Scrum method). - Participate in the development of new functionalities (configuration of management rules, screens, workflows) - Analyze and resolve incidents and anomalies - Participate in agile ceremonies - Travel, punctually, to our clients' premises, in Paris or in the provinces WHAT WE EXPECT OF YOU - Minimum 3 years of experience in Nuxeo and Java development; - Knowledge of design in the software development cycle (quality and code control). - Ideally knowledge of DevOps, JAVA infrastructure with the editor's framework. And humanly? - Good interpersonal skills to ensure regular exchanges with the teams and the client; - Demonstrate rigor and team spirit. THE TECHNICAL ENVIRONMENT - Front side: Polymer - Database: PostgreSQL/Oracle or MongoDB - Search engine: ElasticSearch - Asynchronous processing: Kafka Nuxeo and Java are your daily life? So don't hesitate! Coexya's DNA - A company in the TOP 20 French companies for diversity and inclusion (September 2022 Glassdoor survey), - A company recommended 69% by its employees who praise their management and the good atmosphere at work (2022 satisfaction barometer), - An organization including hybrid teleworking, - A pleasant working environment: new equipment, multimodal access, shared library, integrated gym, vegetable garden, sports activities possible at proximity,? - Turnover reduced to 10% (compared to 20% on average for ESNs),? - The possibility of joining the soft mobility program (carpooling, bicycles and electric cars).?</x:v>
      </x:c>
      <x:c r="E191" s="5" t="str">
        <x:v>42500.0</x:v>
      </x:c>
      <x:c r="F191" s="5" t="str">
        <x:v>07e60525-1aad-4099-aaf3-2c7014c92212</x:v>
      </x:c>
      <x:c r="G191" s="7" t="str">
        <x:v>["Agile project management", "DevOps", "Java (computer programming)", "bicycle mechanics", "emergent technologies", "file documents", "handle incidents", "recruit employees"]</x:v>
      </x:c>
      <x:c r="H191" s="7" t="str">
        <x:v>["DevOps", "Java (computer programming)"]</x:v>
      </x:c>
      <x:c r="I191" s="7" t="str">
        <x:v>[]</x:v>
      </x:c>
      <x:c r="J191" s="7" t="str">
        <x:v>["cloud_devops", "software"]</x:v>
      </x:c>
      <x:c r="K191" s="7" t="str">
        <x:v>[]</x:v>
      </x:c>
      <x:c r="L191" s="7" t="str">
        <x:v>["data_engineering", "software", "cloud_devops"]</x:v>
      </x:c>
      <x:c r="M191" s="7" t="str">
        <x:v>["cloud_devops", "data_engineering", "software"]</x:v>
      </x:c>
      <x:c r="N191" s="7" t="str">
        <x:v>["software", "cloud_devops"]</x:v>
      </x:c>
      <x:c r="O191" s="7" t="str">
        <x:v>["esco", "description"]</x:v>
      </x:c>
      <x:c r="P191" s="7" t="str">
        <x:v>[]</x:v>
      </x:c>
      <x:c r="Q191" s="8" t="str">
        <x:v>yes</x:v>
      </x:c>
      <x:c r="R191" s="8" t="str">
        <x:v>yes</x:v>
      </x:c>
      <x:c r="S191" s="8" t="str">
        <x:v>yes</x:v>
      </x:c>
      <x:c r="T191" s="7" t="str">
        <x:v>Reviewed against title, duties, mapped skills and detection sources.</x:v>
      </x:c>
    </x:row>
    <x:row r="192">
      <x:c r="A192" s="5" t="str">
        <x:v>software</x:v>
      </x:c>
      <x:c r="B192" s="5" t="str">
        <x:v>seyos-06593</x:v>
      </x:c>
      <x:c r="C192" s="7" t="str">
        <x:v>Engineering Manager - H/F</x:v>
      </x:c>
      <x:c r="D192" s="7" t="str">
        <x:v>Description: Our client is a management fintech affiliated with the Crédit Agricole Group which simplifies, secures and improves the finances of French VSE-SMEs, in compliance with the latest regulations in force. A hybrid project in essence, their digital and human solution strives to take the best of two complementary worlds: the agile culture and velocity of a startup combined with the power of a 140-year-old universal local bank, a historic European leader. Today, our client is a team of 100 employees who operate in a very dynamic work environment and who aim to support the digitalization of more than 500,000 companies over the coming years. Attached to the Technical Department, you will play a key role in structuring and supporting the engineering teams. Your objective: to guarantee the quality, scalability and reliability of the platform while promoting the development of your employees. As an Engineering Manager, your missions consist of: - Managing and growing a team of 6 to 8 full-stack engineers, by cultivating kindness, autonomy and technical standards. - Manage the technical roadmap, in close collaboration with Product Managers and Tech Leads. - Implement and lead technical excellence practices: code review, CI/CD, security, monitoring. - Contribute to architectural decisions and guarantee the consistency of technical choices across the entire stack. - Recruit, onboard and support talent to support the rapid growth of the tech team. - Participate in the strategic vision of the Engineering department, in conjunction with the Head of Engineering and the Product teams. Location: Paris 8th Teleworking: 2-3 days / week Remuneration: €75,000 - €85,000 Technical stack: - Backend: Typescript, Node.js, Serverless, Paas, Zod - Frontend: Next.js 14, Typescript, React, Tailwind CSS, Zod - Tests: Vitest, Playwright - Storage: Postgresql, S3 Profile sought: - You have at least 5 years of experience in software engineering, including 2 to 3 years in technical team management (or equivalent role of Tech Lead / EM). - You have already managed web or cloud projects with a high volume of data and know how to find the right balance between technique and delivery. - You are familiar with a JavaScript/TypeScript environment, ideally on Node.js on the back side and React/Next.js on the front side. - You are comfortable with cloud environments (AWS, GCP or equivalent) and serverless or microservices architectures. - You are sensitive to software quality, scalability and reliability of systems. - You like working in a hybrid context: agile startup + support from a large group.</x:v>
      </x:c>
      <x:c r="E192" s="5" t="str">
        <x:v>75000.0</x:v>
      </x:c>
      <x:c r="F192" s="5" t="str">
        <x:v>57af9090-55b4-4911-b2d0-86db01c00b02</x:v>
      </x:c>
      <x:c r="G192" s="7" t="str">
        <x:v>["TypeScript", "coordinate engineering teams", "coordinate security", "integrate measures in architectural designs", "patient autonomy", "quality standards"]</x:v>
      </x:c>
      <x:c r="H192" s="7" t="str">
        <x:v>["TypeScript"]</x:v>
      </x:c>
      <x:c r="I192" s="7" t="str">
        <x:v>[]</x:v>
      </x:c>
      <x:c r="J192" s="7" t="str">
        <x:v>["software"]</x:v>
      </x:c>
      <x:c r="K192" s="7" t="str">
        <x:v>[]</x:v>
      </x:c>
      <x:c r="L192" s="7" t="str">
        <x:v>["data_engineering", "software", "cloud_devops"]</x:v>
      </x:c>
      <x:c r="M192" s="7" t="str">
        <x:v>["cloud_devops", "data_engineering", "software"]</x:v>
      </x:c>
      <x:c r="N192" s="7" t="str">
        <x:v>["software"]</x:v>
      </x:c>
      <x:c r="O192" s="7" t="str">
        <x:v>["esco", "description"]</x:v>
      </x:c>
      <x:c r="P192" s="7" t="str">
        <x:v>[]</x:v>
      </x:c>
      <x:c r="Q192" s="8" t="str">
        <x:v>yes</x:v>
      </x:c>
      <x:c r="R192" s="8" t="str">
        <x:v>yes</x:v>
      </x:c>
      <x:c r="S192" s="8" t="str">
        <x:v>yes</x:v>
      </x:c>
      <x:c r="T192" s="7" t="str">
        <x:v>Reviewed against title, duties, mapped skills and detection sources.</x:v>
      </x:c>
    </x:row>
    <x:row r="193">
      <x:c r="A193" s="5" t="str">
        <x:v>software</x:v>
      </x:c>
      <x:c r="B193" s="5" t="str">
        <x:v>DCS GROUP - MAXRPQRHWXEYKA721</x:v>
      </x:c>
      <x:c r="C193" s="7" t="str">
        <x:v>DCS GROUP - Web Developer (M/F)</x:v>
      </x:c>
      <x:c r="D193" s="7" t="str">
        <x:v>We are looking for our future Product Support Technician / Developer in Clermont Ferrand! Come on, let's tell you more... In conjunction with our manager Sébastien, here are the missions that will be entrusted to you: Provide support to various external clients. Knowledge of the use/operation and support of the product Writing documentation Necessary knowledge: Knowledge of C++, Matlab and Python Customer service skills, ability to use debugging tools Desired knowledge: Knowledge of Latex and Markdown tools for writing technical documentation Testing and validation skills What if we talked about you? Technical skills: Development: C++, Matlab, Python Debugging tools: gdb, etc. Technical writing: Latex, Markdown Tests and validation: Gtest, pytest Behavioral skills: Autonomy Ability to improve skills Effective communication Listening skills Strength of proposal Organizational skills Teamwork Stress management Our recruitment process in 4 steps! Quite simply First, you will speak with one of us by telephone Then, we will have the pleasure of meeting during a physical interview or TEAMS Finally, discuss business with one of our operational managers Welcome to our home! DCS advantage: Packed meals €6.30 net / day worked Participation bonus Holiday bonus Seniority bonus Works council Family mutual insurance covered at 60%</x:v>
      </x:c>
      <x:c r="E193" s="5" t="str">
        <x:v>36000.0</x:v>
      </x:c>
      <x:c r="F193" s="5" t="str">
        <x:v>c40a2919-48a9-40ea-b506-1f34f693496d</x:v>
      </x:c>
      <x:c r="G193" s="7" t="str">
        <x:v>["MATLAB", "provide software testing documentation"]</x:v>
      </x:c>
      <x:c r="H193" s="7" t="str">
        <x:v>[]</x:v>
      </x:c>
      <x:c r="I193" s="7" t="str">
        <x:v>[]</x:v>
      </x:c>
      <x:c r="J193" s="7" t="str">
        <x:v>[]</x:v>
      </x:c>
      <x:c r="K193" s="7" t="str">
        <x:v>["software"]</x:v>
      </x:c>
      <x:c r="L193" s="7" t="str">
        <x:v>["software"]</x:v>
      </x:c>
      <x:c r="M193" s="7" t="str">
        <x:v>["software"]</x:v>
      </x:c>
      <x:c r="N193" s="7" t="str">
        <x:v>["software"]</x:v>
      </x:c>
      <x:c r="O193" s="7" t="str">
        <x:v>["title", "description"]</x:v>
      </x:c>
      <x:c r="P193" s="7" t="str">
        <x:v>[]</x:v>
      </x:c>
      <x:c r="Q193" s="8" t="str">
        <x:v>yes</x:v>
      </x:c>
      <x:c r="R193" s="8" t="str">
        <x:v>yes</x:v>
      </x:c>
      <x:c r="S193" s="8" t="str">
        <x:v>yes</x:v>
      </x:c>
      <x:c r="T193" s="7" t="str">
        <x:v>Reviewed against title, duties, mapped skills and detection sources.</x:v>
      </x:c>
    </x:row>
    <x:row r="194">
      <x:c r="A194" s="5" t="str">
        <x:v>software</x:v>
      </x:c>
      <x:c r="B194" s="5" t="str">
        <x:v>seyos-06659</x:v>
      </x:c>
      <x:c r="C194" s="7" t="str">
        <x:v>Software Architect F/M</x:v>
      </x:c>
      <x:c r="D194" s="7" t="str">
        <x:v>Description: Our client is a publisher of solutions and software for carpentry, blinds and closing professionals. Located in Brignais, it now brings together 270 employees and has held the “Happy at Work” label for eight years. As part of a multidisciplinary Tech &amp; Product team of around 55 people and in direct contact with the CTO, you are responsible for the consistency, quality and sustainability of the software architecture of their products. You play a transversal, strategic and operational role, serving the technical teams and the product roadmap. Your main missions will be: - Design and develop the architecture of applications by integrating best practices (Cloud Native, DevOps, etc.) and adapting existing solutions to new technical requirements. - Co-build and coordinate the overall technical roadmap of the different teams while promoting their autonomy. - Train, supervise and support development teams through a coach/mentor position, by identifying their technical issues and feeding into the overall vision. - Participate in the recruitment of technical profiles. - Participate in technological monitoring and product innovation. - Intervene in pre-sales on strategic technical subjects. Permanent position Location: Brignais Remuneration: €65,000 - €75,000 Teleworking possible Benefits: - Participation bonus (€8,000) - Restaurant vouchers - Mutual insurance - Sustainable mobility bonuses - 8 RTT - Sports lessons - Holiday vouchers - CSE Profile sought: - Coming from a background in IT (bac +5 or equivalent), you have significant experience in architecture software within an AGILE environment. - You have worked with the Microsoft eco system (.NET, Cloud Azure), you have mastery of micro-services architectures, the DevSecOps approach. - You have ideal soft skills for this role: natural leadership, assertiveness, clear communication and ability to bring people together. - You demonstrate influence, critical thinking, resilience and you are able to gain perspective and strategic perspective.</x:v>
      </x:c>
      <x:c r="E194" s="5" t="str">
        <x:v>70000.0</x:v>
      </x:c>
      <x:c r="F194" s="5" t="str">
        <x:v>57af9090-55b4-4911-b2d0-86db01c00b02</x:v>
      </x:c>
      <x:c r="G194" s="7" t="str">
        <x:v>["DevOps", "address problems critically", "assertiveness", "carpentry", "communicate clearly with passengers", "coordinate operational activities", "develop new products", "make strategic business decisions", "promote ideas, products, services ", "software architecture models", "solve technical problems", "supervise employees in food production plants"]</x:v>
      </x:c>
      <x:c r="H194" s="7" t="str">
        <x:v>["DevOps", "software architecture models"]</x:v>
      </x:c>
      <x:c r="I194" s="7" t="str">
        <x:v>["communicate clearly with passengers", "solve technical problems", "supervise employees in food production plants"]</x:v>
      </x:c>
      <x:c r="J194" s="7" t="str">
        <x:v>["cloud_devops", "software"]</x:v>
      </x:c>
      <x:c r="K194" s="7" t="str">
        <x:v>["software"]</x:v>
      </x:c>
      <x:c r="L194" s="7" t="str">
        <x:v>["software", "cloud_devops"]</x:v>
      </x:c>
      <x:c r="M194" s="7" t="str">
        <x:v>["cloud_devops", "software"]</x:v>
      </x:c>
      <x:c r="N194" s="7" t="str">
        <x:v>["software", "cloud_devops"]</x:v>
      </x:c>
      <x:c r="O194" s="7" t="str">
        <x:v>["esco", "title", "description"]</x:v>
      </x:c>
      <x:c r="P194" s="7" t="str">
        <x:v>["communication", "leadership", "problem_solving"]</x:v>
      </x:c>
      <x:c r="Q194" s="8" t="str">
        <x:v>yes</x:v>
      </x:c>
      <x:c r="R194" s="8" t="str">
        <x:v>yes</x:v>
      </x:c>
      <x:c r="S194" s="8" t="str">
        <x:v>yes</x:v>
      </x:c>
      <x:c r="T194" s="7" t="str">
        <x:v>Reviewed against title, duties, mapped skills and detection sources.</x:v>
      </x:c>
    </x:row>
    <x:row r="195">
      <x:c r="A195" s="5" t="str">
        <x:v>software</x:v>
      </x:c>
      <x:c r="B195" s="5" t="str">
        <x:v>27912659</x:v>
      </x:c>
      <x:c r="C195" s="7" t="str">
        <x:v>Technicien Développement &amp; Industrialisation - Engineering (H/F)</x:v>
      </x:c>
      <x:c r="D195" s="7" t="str">
        <x:v>As part of strengthening its Engineering department, our client, an innovative industrial company, is recruiting a Development &amp; Industrialization Technician. You will be involved in the entire life cycle of products, from their design to their industrialization, in close collaboration with the technical and production teams. Your main missions will be to: Participate in the development of new products (software, interfaces, hardware choice). Continuously improve manufacturing methods and processes. Provide technical support for processes and products. Carry out product studies, trials and validation tests. Industrialize new products and support their launch into production. Study, install and validate new equipment. Develop internal and external training materials, and ensure associated documentation (including health and safety). Manage and document the pre-installation, testing and prototyping phases. Ensure regulatory monitoring of European and international standards. Coming from Bac+2 to Bac+3 training (or beginner engineer) in electronics, industrial IT or equivalent field, you have good technical skills in IT and networks. You are familiar with: Linux environments Communication protocols (TCP/IP, Modbus RS485) Python, C++, Bash, JavaScript languages ​​Knowledge of electronics An appetite for data and Power BI-type tools is a plus You are curious, rigorous, autonomous and enjoy teamwork. Comfortable in technical English, you know how to collaborate with a variety of people and actively contribute to the continuous improvement of products. Company benefits: Flexible hours Alternating week 4 days / 5 days Company restaurant, transport, seniority</x:v>
      </x:c>
      <x:c r="E195" s="5" t="str">
        <x:v>37500.0</x:v>
      </x:c>
      <x:c r="F195" s="5" t="str">
        <x:v>53be4843-8f31-4645-b25c-9a5bbb04f6b6</x:v>
      </x:c>
      <x:c r="G195" s="7" t="str">
        <x:v>["C++", "Prototyping development", "consult with technical staff", "create training materials", "develop new products", "hire post-production team", "interfacing techniques"]</x:v>
      </x:c>
      <x:c r="H195" s="7" t="str">
        <x:v>["C++"]</x:v>
      </x:c>
      <x:c r="I195" s="7" t="str">
        <x:v>[]</x:v>
      </x:c>
      <x:c r="J195" s="7" t="str">
        <x:v>["software"]</x:v>
      </x:c>
      <x:c r="K195" s="7" t="str">
        <x:v>[]</x:v>
      </x:c>
      <x:c r="L195" s="7" t="str">
        <x:v>["data_analysis", "software", "networks_systems"]</x:v>
      </x:c>
      <x:c r="M195" s="7" t="str">
        <x:v>["data_analysis", "networks_systems", "software"]</x:v>
      </x:c>
      <x:c r="N195" s="7" t="str">
        <x:v>["software"]</x:v>
      </x:c>
      <x:c r="O195" s="7" t="str">
        <x:v>["esco", "description"]</x:v>
      </x:c>
      <x:c r="P195" s="7" t="str">
        <x:v>[]</x:v>
      </x:c>
      <x:c r="Q195" s="8" t="str">
        <x:v>yes</x:v>
      </x:c>
      <x:c r="R195" s="8" t="str">
        <x:v>yes</x:v>
      </x:c>
      <x:c r="S195" s="8" t="str">
        <x:v>yes</x:v>
      </x:c>
      <x:c r="T195" s="7" t="str">
        <x:v>Reviewed against title, duties, mapped skills and detection sources.</x:v>
      </x:c>
    </x:row>
    <x:row r="196">
      <x:c r="A196" s="5" t="str">
        <x:v>software</x:v>
      </x:c>
      <x:c r="B196" s="5" t="str">
        <x:v>27760093</x:v>
      </x:c>
      <x:c r="C196" s="7" t="str">
        <x:v>Confirmed PHP/Symfony Developer (M/F)</x:v>
      </x:c>
      <x:c r="D196" s="7" t="str">
        <x:v>As part of strengthening its IT team, our client is recruiting an experienced PHP/Symfony Developer to work on high value-added application projects. As a PHP Developer, you will be involved in the entire life cycle of applications: - Design and develop applications in PHP/Symfony - Participate in the analysis of technical and functional needs - Develop functionalities while respecting good practices - Carry out unit tests and participate in the validation of developments - Correct anomalies and ensure application maintenance - Collaborate with the technical and functional teams The position is to be filled on a permanent basis in Lyon (69). You have 3 to 5 years of experience in PHP development and master its associated frameworks (Symfony, Laravel). You are comfortable with relational databases, enjoy teamwork and demonstrate rigor. You are autonomous and proactive.</x:v>
      </x:c>
      <x:c r="E196" s="5" t="str">
        <x:v>45000.0</x:v>
      </x:c>
      <x:c r="F196" s="5" t="str">
        <x:v>f2b15a0e-e65a-438a-affb-29b9d50b77d1</x:v>
      </x:c>
      <x:c r="G196" s="7" t="str">
        <x:v>["PHP"]</x:v>
      </x:c>
      <x:c r="H196" s="7" t="str">
        <x:v>["PHP"]</x:v>
      </x:c>
      <x:c r="I196" s="7" t="str">
        <x:v>[]</x:v>
      </x:c>
      <x:c r="J196" s="7" t="str">
        <x:v>["software"]</x:v>
      </x:c>
      <x:c r="K196" s="7" t="str">
        <x:v>[]</x:v>
      </x:c>
      <x:c r="L196" s="7" t="str">
        <x:v>["software"]</x:v>
      </x:c>
      <x:c r="M196" s="7" t="str">
        <x:v>["software"]</x:v>
      </x:c>
      <x:c r="N196" s="7" t="str">
        <x:v>["software"]</x:v>
      </x:c>
      <x:c r="O196" s="7" t="str">
        <x:v>["esco", "description"]</x:v>
      </x:c>
      <x:c r="P196" s="7" t="str">
        <x:v>[]</x:v>
      </x:c>
      <x:c r="Q196" s="8" t="str">
        <x:v>yes</x:v>
      </x:c>
      <x:c r="R196" s="8" t="str">
        <x:v>yes</x:v>
      </x:c>
      <x:c r="S196" s="8" t="str">
        <x:v>yes</x:v>
      </x:c>
      <x:c r="T196" s="7" t="str">
        <x:v>Reviewed against title, duties, mapped skills and detection sources.</x:v>
      </x:c>
    </x:row>
    <x:row r="197">
      <x:c r="A197" s="5" t="str">
        <x:v>software</x:v>
      </x:c>
      <x:c r="B197" s="5" t="str">
        <x:v>27672154</x:v>
      </x:c>
      <x:c r="C197" s="7" t="str">
        <x:v>Linux Software Developer - Energy Sector M/F</x:v>
      </x:c>
      <x:c r="D197" s="7" t="str">
        <x:v>Viveris is a consulting and engineering group specializing in the management and implementation of projects in the fields of IT and electronics. Engaging with Viveris is the assurance of meeting technical and human challenges while working on innovative projects in a collaborative and supportive environment. Context of the mission: Viveris supports its clients in the design and development of innovative technological systems, particularly in the fields of energy, transport and embedded systems. In this context, we are looking for a Linux Software Developer to strengthen our R&amp;D team and participate in the design, development and integration of embedded software on industrial and IoT platforms. You will report directly to the R&amp;D Manager, you will work within a team of multidisciplinary engineers (software, electronics, testing) on ​​projects with a strong technical dimension. Responsibilities: - Participate in the design and development of embedded software under Linux (applications and middleware); - Implement new software features and ensure their integration; - Work on inter-process communications, peripheral management and hardware interfaces (USB, SPI, I2C, Ethernet, CAN...); - Contribute to the maintenance and optimization of existing modules (performance, reliability, consumption); - Collaborate with the systems and electronics teams to guarantee overall software consistency; - Write technical documentation and participate in integration and validation tests on target. Profile sought: Graduate of higher education in industrial computing, embedded systems or electronics, you have proven experience (3 to 5 years) in software development under Linux. Technical skills: - Excellent command of the C language (C++ appreciated); - Solid knowledge of embedded Linux (Yocto, Buildroot, drivers, device tree); - Mastery of development tools: GCC, CMake, GDB, Git, Makefile; - Knowledge of network protocols and inter-process communication (TCP/IP, UDP, sockets, MQTT, IPC); - Good understanding of how Linux systems work (memory management, processes, threads, multitasking); - Familiarity with Python for scripting or automated testing. Our advantages: - Attractive and progressive remuneration; - Family mutual insurance with high guarantee; - Restaurant tickets covered at 60%; - 100% urban transport ticket reimbursed; - Incentive, participation and co-optation bonuses; - 2 days of teleworking per week; - Continuing training with LinkedIn Learning and our technical communities.</x:v>
      </x:c>
      <x:c r="E197" s="5" t="str">
        <x:v>42500.0</x:v>
      </x:c>
      <x:c r="F197" s="5" t="str">
        <x:v>d0aa0792-4345-474b-9365-686cf4869d2e</x:v>
      </x:c>
      <x:c r="G197" s="7" t="str">
        <x:v>["ICT project management", "consumer electronics", "develop automated software tests", "develop design ideas cooperatively", "embedded systems", "innovation processes", "operating systems", "perform multiple tasks at the same time", "provide technical documentation", "use scripting programming"]</x:v>
      </x:c>
      <x:c r="H197" s="7" t="str">
        <x:v>[]</x:v>
      </x:c>
      <x:c r="I197" s="7" t="str">
        <x:v>["innovation processes"]</x:v>
      </x:c>
      <x:c r="J197" s="7" t="str">
        <x:v>[]</x:v>
      </x:c>
      <x:c r="K197" s="7" t="str">
        <x:v>["software"]</x:v>
      </x:c>
      <x:c r="L197" s="7" t="str">
        <x:v>["software", "networks_systems"]</x:v>
      </x:c>
      <x:c r="M197" s="7" t="str">
        <x:v>["networks_systems", "software"]</x:v>
      </x:c>
      <x:c r="N197" s="7" t="str">
        <x:v>["software"]</x:v>
      </x:c>
      <x:c r="O197" s="7" t="str">
        <x:v>["title", "description"]</x:v>
      </x:c>
      <x:c r="P197" s="7" t="str">
        <x:v>["creativity"]</x:v>
      </x:c>
      <x:c r="Q197" s="8" t="str">
        <x:v>yes</x:v>
      </x:c>
      <x:c r="R197" s="8" t="str">
        <x:v>yes</x:v>
      </x:c>
      <x:c r="S197" s="8" t="str">
        <x:v>yes</x:v>
      </x:c>
      <x:c r="T197" s="7" t="str">
        <x:v>Reviewed against title, duties, mapped skills and detection sources.</x:v>
      </x:c>
    </x:row>
    <x:row r="198">
      <x:c r="A198" s="5" t="str">
        <x:v>software</x:v>
      </x:c>
      <x:c r="B198" s="5" t="str">
        <x:v>51830240</x:v>
      </x:c>
      <x:c r="C198" s="7" t="str">
        <x:v>JAVA Developer (M/F)</x:v>
      </x:c>
      <x:c r="D198" s="7" t="str">
        <x:v>Job description: Our B.E.C. Design Office. is looking for a Software Development Engineer for its teams located in Bordes (64) in aeronautics, as part of a need concerning non-embedded application software development activities. The activities to be carried out as part of this mission are Requirements analysis, * Development, * Testing, * Configuration management (GIT Writing of documentation (detailed specification, Design document, test plan, user manual, configuration state Validation, * Bug fixing, * Support, * Reporting Profile description: TECHNICAL SKILLS C++, C, C#, WPF, * Python, * JAVA, * UML, * GIT configuration management - Clearcase, * Knowledge of CAN, RS, ARINC communication protocols, * VBA SKILLS TO BE Rigorous, * Autonomy.</x:v>
      </x:c>
      <x:c r="E198" s="5" t="str">
        <x:v>43750.0</x:v>
      </x:c>
      <x:c r="F198" s="5" t="str">
        <x:v>f2b15a0e-e65a-438a-affb-29b9d50b77d1</x:v>
      </x:c>
      <x:c r="G198" s="7" t="str">
        <x:v>["C#", "Java (computer programming)", "Python (computer programming)", "business requirements techniques", "plan software testing"]</x:v>
      </x:c>
      <x:c r="H198" s="7" t="str">
        <x:v>["C#", "Java (computer programming)", "Python (computer programming)"]</x:v>
      </x:c>
      <x:c r="I198" s="7" t="str">
        <x:v>[]</x:v>
      </x:c>
      <x:c r="J198" s="7" t="str">
        <x:v>["data_analysis", "software"]</x:v>
      </x:c>
      <x:c r="K198" s="7" t="str">
        <x:v>["software"]</x:v>
      </x:c>
      <x:c r="L198" s="7" t="str">
        <x:v>["software"]</x:v>
      </x:c>
      <x:c r="M198" s="7" t="str">
        <x:v>["data_analysis", "software"]</x:v>
      </x:c>
      <x:c r="N198" s="7" t="str">
        <x:v>["software"]</x:v>
      </x:c>
      <x:c r="O198" s="7" t="str">
        <x:v>["esco", "title", "description"]</x:v>
      </x:c>
      <x:c r="P198" s="7" t="str">
        <x:v>[]</x:v>
      </x:c>
      <x:c r="Q198" s="8" t="str">
        <x:v>yes</x:v>
      </x:c>
      <x:c r="R198" s="8" t="str">
        <x:v>yes</x:v>
      </x:c>
      <x:c r="S198" s="8" t="str">
        <x:v>yes</x:v>
      </x:c>
      <x:c r="T198" s="7" t="str">
        <x:v>Reviewed against title, duties, mapped skills and detection sources.</x:v>
      </x:c>
    </x:row>
    <x:row r="199">
      <x:c r="A199" s="5" t="str">
        <x:v>software</x:v>
      </x:c>
      <x:c r="B199" s="5" t="str">
        <x:v>001851</x:v>
      </x:c>
      <x:c r="C199" s="7" t="str">
        <x:v>Engineer full stack JS H/F</x:v>
      </x:c>
      <x:c r="D199" s="7" t="str">
        <x:v>The supported company and the missions: Do you want to contribute to concrete and useful projects, with teams who care as much about the product as the code? We are recruiting, on behalf of a Nantes company supported by Externatic, a senior Fullstack TypeScript / JavaScript Engineer/Developer – Permanent contract (M/F). A recognized player in the design of tailor-made web and mobile products, this company supports its clients in resolving complex business issues. Guided by an entrepreneurial vision, it places user impact, software quality and collective intelligence at the heart of its approach. With a collaborative organization based on multidisciplinary teams (Product Manager, Design, Tech), it stands out for its ability to quickly deliver robust and well-thought-out solutions. You will join an agile, independent structure, where expertise is shared, technique valued, and autonomy encouraged. The company is now entrusting us with the recruitment of a senior profile, as part of new customer projects with high added value. As a senior full-stack engineer/developer, you will be involved in the entire product life cycle, in direct contact with customers, designers and product managers: Participate in the pre-sales phases by providing your technical perspective and recommendations on feasibility Design software architectures adapted to functional and business challenges Develop varied web solutions combining front-end and back-end: data portals, scoring tools, interfaces incident management, etc. Exploit modern technologies such as TypeScript, NestJS for the back-end and React.js on the front-end side Integrate a process of continuous improvement of the code with in particular the use of AI (e.g. Cursor) to make development more reliable and accelerate Assume a role of technical referent: support for more junior profiles (pair-programming, code review, mentoring) Actively participate in the life of the company: team rituals, sharing of monitoring, strategic involvement if desired Profile: You have significant experience (minimum 5 years) in web application development, on full-stack JavaScript / TypeScript environments. You are comfortable collaborating with product teams, working agile, and enjoy bringing real business value through your technical choices. Technical skills sought: Back-end: TypeScript, NestJS (or equivalent Node.js framework) Front-end: React.js (or modern JS equivalent) DevTools: good knowledge of continuous integration practices, version management, automated tests, AI tools for developers (e.g.: Cursor) Desire to pass on and ability to technically coach other developers You are also comfortable in customer discussions, particularly in the upstream phases (workshop, costing, framing). Autonomous, rigorous, curious, you are looking for a work environment where product quality and team culture are priorities. Advantages: Direct permanent contract, in final company (no ESN) Attractive remuneration depending on profile: €40–45K gross/year Up to 2 days of teleworking per week Offices in Nantes a stone's throw from the train station, easily accessible by transport Multidisciplinary team on a human scale (approximately 30 people) Agile methodologies and culture of feedback Access to monitoring, internal training, skills development on AI tools Friendly atmosphere, moments of sharing regular, real team life Good work/personal life balance</x:v>
      </x:c>
      <x:c r="E199" s="5" t="str">
        <x:v>44000.0</x:v>
      </x:c>
      <x:c r="F199" s="5" t="str">
        <x:v>2ed56c3f-61d6-4f7e-9ef8-8849eb102e4c</x:v>
      </x:c>
      <x:c r="G199" s="7" t="str">
        <x:v>["TypeScript", "collaborate with designers", "contact customers", "mobile marketing", "patient autonomy", "show entrepreneurial spirit", "software metrics", "tools for software configuration management", "verify feasibility"]</x:v>
      </x:c>
      <x:c r="H199" s="7" t="str">
        <x:v>["TypeScript"]</x:v>
      </x:c>
      <x:c r="I199" s="7" t="str">
        <x:v>["collaborate with designers"]</x:v>
      </x:c>
      <x:c r="J199" s="7" t="str">
        <x:v>["software"]</x:v>
      </x:c>
      <x:c r="K199" s="7" t="str">
        <x:v>["software"]</x:v>
      </x:c>
      <x:c r="L199" s="7" t="str">
        <x:v>["software"]</x:v>
      </x:c>
      <x:c r="M199" s="7" t="str">
        <x:v>["software"]</x:v>
      </x:c>
      <x:c r="N199" s="7" t="str">
        <x:v>["software"]</x:v>
      </x:c>
      <x:c r="O199" s="7" t="str">
        <x:v>["esco", "title", "description"]</x:v>
      </x:c>
      <x:c r="P199" s="7" t="str">
        <x:v>["teamwork"]</x:v>
      </x:c>
      <x:c r="Q199" s="8" t="str">
        <x:v>yes</x:v>
      </x:c>
      <x:c r="R199" s="8" t="str">
        <x:v>yes</x:v>
      </x:c>
      <x:c r="S199" s="8" t="str">
        <x:v>yes</x:v>
      </x:c>
      <x:c r="T199" s="7" t="str">
        <x:v>Reviewed against title, duties, mapped skills and detection sources.</x:v>
      </x:c>
    </x:row>
    <x:row r="200">
      <x:c r="A200" s="5" t="str">
        <x:v>software</x:v>
      </x:c>
      <x:c r="B200" s="5" t="str">
        <x:v>6wwrmm4vpz</x:v>
      </x:c>
      <x:c r="C200" s="7" t="str">
        <x:v>Development Engineer M/F</x:v>
      </x:c>
      <x:c r="D200" s="7" t="str">
        <x:v>RESPONSIBILITIES: AGIS is a transversal structure of the ISAGRI group made up of 90 people spread across different departments to best serve all structures of the Isagri group. We are looking for motivated and ambitious profiles to support us in the exciting project of designing a cloud development framework intended for the different structures of its ERP division. As part of a team of 10 employees highly motivated by this challenge, in an agile environment, you actively contribute to the design of a new generation cloud development framework, integrating Generative and Agentic AI building blocks. You take part in the design of the technical architecture. You develop new features, based on modern technologies. You collaborate with people from different ISAGRI sites. You share your knowledge with the NEOS framework team. You carry out testing and debugging using TDD. PROFILE WANTED: You are curious, you are interested in new technologies, in software architecture You have excellent knowledge of API development in C#, the net core and EF core framework. You have good knowledge of TypeScript, HTML5, CSS, Web technologies in general You have practiced the MVVM design pattern You have already used the Vue.js framework You have knowledge of good TDD-type development practices You are familiar with Azure Devops solutions You are passionate about Generative AI and its concrete applications in software development You actively follow the latest AI advances (LLM, agents, RAG, etc.) You are rigorous and precise in writing your code, you even have a certain creative spirit! YOUR DEVELOPMENTS The HR policy guarantees you regular support to help you progress and evolve towards new missions depending on your project. Joining our group is the guarantee of continuing training, a personalized career plan and local management. Depending on your profile and your aspirations, you can progress towards: - Management of a team of programmer analysts. - Technical expertise. PROPOSED CONDITIONS Permanent position based in Lyon (69) or Bordeaux (33) to be filled as soon as possible. Remuneration: Fixed + Incentive based on experience As part of its HR policy, ISAGRI studies, with equal skills, all applications including those from people with disabilities.</x:v>
      </x:c>
      <x:c r="E200" s="5" t="str">
        <x:v>50000.0</x:v>
      </x:c>
      <x:c r="F200" s="5" t="str">
        <x:v>07e60525-1aad-4099-aaf3-2c7014c92212</x:v>
      </x:c>
      <x:c r="G200" s="7" t="str">
        <x:v>["Agile development", "C#", "TypeScript", "provide technical expertise"]</x:v>
      </x:c>
      <x:c r="H200" s="7" t="str">
        <x:v>["C#", "TypeScript"]</x:v>
      </x:c>
      <x:c r="I200" s="7" t="str">
        <x:v>[]</x:v>
      </x:c>
      <x:c r="J200" s="7" t="str">
        <x:v>["software"]</x:v>
      </x:c>
      <x:c r="K200" s="7" t="str">
        <x:v>[]</x:v>
      </x:c>
      <x:c r="L200" s="7" t="str">
        <x:v>["ai_ml", "software", "cloud_devops"]</x:v>
      </x:c>
      <x:c r="M200" s="7" t="str">
        <x:v>["ai_ml", "cloud_devops", "software"]</x:v>
      </x:c>
      <x:c r="N200" s="7" t="str">
        <x:v>["software"]</x:v>
      </x:c>
      <x:c r="O200" s="7" t="str">
        <x:v>["esco", "description"]</x:v>
      </x:c>
      <x:c r="P200" s="7" t="str">
        <x:v>[]</x:v>
      </x:c>
      <x:c r="Q200" s="8" t="str">
        <x:v>yes</x:v>
      </x:c>
      <x:c r="R200" s="8" t="str">
        <x:v>yes</x:v>
      </x:c>
      <x:c r="S200" s="8" t="str">
        <x:v>yes</x:v>
      </x:c>
      <x:c r="T200" s="7" t="str">
        <x:v>Reviewed against title, duties, mapped skills and detection sources.</x:v>
      </x:c>
    </x:row>
    <x:row r="201">
      <x:c r="A201" s="5" t="str">
        <x:v>software</x:v>
      </x:c>
      <x:c r="B201" s="5" t="str">
        <x:v>203DPKF</x:v>
      </x:c>
      <x:c r="C201" s="7" t="str">
        <x:v>Junior Mainframe design and development engineer F/M (M/F)</x:v>
      </x:c>
      <x:c r="D201" s="7" t="str">
        <x:v>As part of the development of our teams present in Sophia Antipolis, we are looking for a Junior Mainframe study and development engineer with technical skills in MVS, Cobol, DB2. You will be responsible for developing projects and maintaining large-scale applications. You will be involved in the different phases: Analysis of functional and technical specifications Drafting of detailed specifications Design and development of programs Technical analysis and development Support in putting into production Production of project documentation User support You will share the responsibilities of a team both in terms of deadlines and quality of deliverables. You will be trained in the context of our clients, their businesses, as well as our processes. We offer you the opportunity to capitalize on your professional and personal qualities and to evolve in a dynamic environment, on numerous high value-added and varied projects. With a BAC+5 education, you are a beginner and have initial development experience in a Mainframe environment. You ideally have knowledge of object languages ​​such as Java or C++. This position may be open to candidates without mainframe experience but with a background in software development. You are recognized for your excellent interpersonal skills and your desire to collaborate in a team. Your sense of service, your rigor, your interpersonal skills combined with a methodical spirit will offer you opportunities for advancement towards project management, technical expertise, functional expertise or consulting.</x:v>
      </x:c>
      <x:c r="E201" s="5" t="str">
        <x:v>36000.0</x:v>
      </x:c>
      <x:c r="F201" s="5" t="str">
        <x:v>07e60525-1aad-4099-aaf3-2c7014c92212</x:v>
      </x:c>
      <x:c r="G201" s="7" t="str">
        <x:v>["C++", "DB2", "consult with business clients", "interpret electronic design specifications", "project management", "provide technical expertise"]</x:v>
      </x:c>
      <x:c r="H201" s="7" t="str">
        <x:v>["C++"]</x:v>
      </x:c>
      <x:c r="I201" s="7" t="str">
        <x:v>["consult with business clients"]</x:v>
      </x:c>
      <x:c r="J201" s="7" t="str">
        <x:v>["software"]</x:v>
      </x:c>
      <x:c r="K201" s="7" t="str">
        <x:v>[]</x:v>
      </x:c>
      <x:c r="L201" s="7" t="str">
        <x:v>["software"]</x:v>
      </x:c>
      <x:c r="M201" s="7" t="str">
        <x:v>["software"]</x:v>
      </x:c>
      <x:c r="N201" s="7" t="str">
        <x:v>["software"]</x:v>
      </x:c>
      <x:c r="O201" s="7" t="str">
        <x:v>["esco", "description"]</x:v>
      </x:c>
      <x:c r="P201" s="7" t="str">
        <x:v>["customer_interaction"]</x:v>
      </x:c>
      <x:c r="Q201" s="8" t="str">
        <x:v>yes</x:v>
      </x:c>
      <x:c r="R201" s="8" t="str">
        <x:v>yes</x:v>
      </x:c>
      <x:c r="S201" s="8" t="str">
        <x:v>yes</x:v>
      </x:c>
      <x:c r="T201" s="7" t="str">
        <x:v>Reviewed against title, duties, mapped skills and detection sources.</x:v>
      </x:c>
    </x:row>
    <x:row r="202">
      <x:c r="A202" s="5" t="str">
        <x:v>other_technical</x:v>
      </x:c>
      <x:c r="B202" s="5" t="str">
        <x:v>pagefrautopost_JN -022026-6949710-4856_1771481572</x:v>
      </x:c>
      <x:c r="C202" s="7" t="str">
        <x:v>System Administrator M/F</x:v>
      </x:c>
      <x:c r="D202" s="7" t="str">
        <x:v>As a Permanent Systems Administrator, you will join a team of four people attached to the RSI. Dedicated to IS infrastructures, you contribute to maintaining operational conditions, performance and security of technical environments: * Participate in the architecture, development and security of infrastructures, data centers, virtualization platforms and Windows/Linux systems. * Manage and optimize backup, supervision, automation and performance monitoring solutions. * Contribute to the operation of cloud platforms by guaranteeing their availability, compliance and proper integration into the IS. * Assume a role of L3 expert, manage technical projects until production is put into production and manage the relationship with suppliers. * Produce documentation, disseminate best practices, support users and ensure technological monitoring to guide future choices. * Mastery of Windows Server and Linux environments * Skills in virtualization, storage, backup and monitoring * Knowledge of SMTP, SFTP, SNMP protocols and cloud environments; AS400 appreciated * Experience in project management and an ITIL environment * English essential * Sense of service, organizational skills, autonomy, rigor, teamwork * 2 days of teleworking per week; * Framework status with 12 RTT per year; * Holiday bonus in June; * Incentive bonus and participation; * PERCOL retirement plan; * Access to a company restaurant</x:v>
      </x:c>
      <x:c r="E202" s="5" t="str">
        <x:v>42500.0</x:v>
      </x:c>
      <x:c r="F202" s="5" t="str">
        <x:v>9e2e6e1e-363b-4e1b-a673-7bc0f7343300</x:v>
      </x:c>
      <x:c r="G202" s="7" t="str">
        <x:v>["automation technology", "ensure compliance with policies", "maintain relationship with suppliers", "operating systems", "patient autonomy", "provide technical documentation", "supervision of persons"]</x:v>
      </x:c>
      <x:c r="H202" s="7" t="str">
        <x:v>[]</x:v>
      </x:c>
      <x:c r="I202" s="7" t="str">
        <x:v>[]</x:v>
      </x:c>
      <x:c r="J202" s="7" t="str">
        <x:v>[]</x:v>
      </x:c>
      <x:c r="K202" s="7" t="str">
        <x:v>["networks_systems"]</x:v>
      </x:c>
      <x:c r="L202" s="7" t="str">
        <x:v>["networks_systems"]</x:v>
      </x:c>
      <x:c r="M202" s="7" t="str">
        <x:v>["networks_systems"]</x:v>
      </x:c>
      <x:c r="N202" s="7" t="str">
        <x:v>["networks_systems"]</x:v>
      </x:c>
      <x:c r="O202" s="7" t="str">
        <x:v>["title", "description"]</x:v>
      </x:c>
      <x:c r="P202" s="7" t="str">
        <x:v>[]</x:v>
      </x:c>
      <x:c r="Q202" s="8" t="str">
        <x:v>yes</x:v>
      </x:c>
      <x:c r="R202" s="8" t="str">
        <x:v>yes</x:v>
      </x:c>
      <x:c r="S202" s="8" t="str">
        <x:v>yes</x:v>
      </x:c>
      <x:c r="T202" s="7" t="str">
        <x:v>Reviewed against title, duties, mapped skills and detection sources.</x:v>
      </x:c>
    </x:row>
    <x:row r="203">
      <x:c r="A203" s="5" t="str">
        <x:v>other_technical</x:v>
      </x:c>
      <x:c r="B203" s="5" t="str">
        <x:v>204FXSQ</x:v>
      </x:c>
      <x:c r="C203" s="7" t="str">
        <x:v>IT support technician M/F</x:v>
      </x:c>
      <x:c r="D203" s="7" t="str">
        <x:v>Our Adéquat agency in CRIQUEBEUF SUR SEINE is recruiting new talents: IT support technician M/F for an industry in VAL DE REUIL. Missions: * * Provide an effective solution to user requests: record, diagnose and process incidents/requests concerning hardware (printers, screens), software and operating systems, * Guarantee the smooth running of operations * In the event of an operating incident, ensure first-level interventions or involve authorized IT specialists * Configure the equipment according to the request * Take inventory of the equipment and be responsible for the associated stock management. * Network: Be able to intervene at Lv-1 and climb. Participate in compliance with the group's cybersecurity policy. * Administration: Create/manage user and mailbox accounts, set up user rights. Participate in maintaining the information system in operational condition. * Quality: Writing of procedures and knowledge base. Monitoring of service KPIs. Actively participate in the continuous improvement effort of the service. * Participate in the implementation of global projects and execute related actions. Profile: * Master the Operating systems: DOS, Windows 10, 11 and future, * Master the following software: Office Suite, GLPI. * Good knowledge of TCP/IP networks * Mastery of the following equipment: PC DESKTOPS &amp; LAPTOPS, PRINTERS, PC PERIPHERALS. Remuneration and benefits: - Fixed hourly rate + 10% end of mission + 10% paid leave - Collective and/or individual bonuses + profit sharing + CET 5% - Weekly pay deposit if necessary, - Possibility of rapid integration, training and development, - Benefit from dedicated aid and services (mutual health insurance, housing, childcare, travel). Join the Adéquat group, the most dynamic player in the employment sector for 3 years! Suitable, Just for you!</x:v>
      </x:c>
      <x:c r="E203" s="5" t="str">
        <x:v>24450.0</x:v>
      </x:c>
      <x:c r="F203" s="5" t="str">
        <x:v>aaeec9a7-dc57-4485-890c-86b3eef735f9</x:v>
      </x:c>
      <x:c r="G203" s="7" t="str">
        <x:v>["authoring software", "babysitting", "climb trees", "explain characteristics of computer peripheral equipment", "knowledge base", "manage publicly traded companies", "operating systems", "printing materials"]</x:v>
      </x:c>
      <x:c r="H203" s="7" t="str">
        <x:v>[]</x:v>
      </x:c>
      <x:c r="I203" s="7" t="str">
        <x:v>[]</x:v>
      </x:c>
      <x:c r="J203" s="7" t="str">
        <x:v>[]</x:v>
      </x:c>
      <x:c r="K203" s="7" t="str">
        <x:v>["networks_systems"]</x:v>
      </x:c>
      <x:c r="L203" s="7" t="str">
        <x:v>["cybersecurity"]</x:v>
      </x:c>
      <x:c r="M203" s="7" t="str">
        <x:v>["cybersecurity", "networks_systems"]</x:v>
      </x:c>
      <x:c r="N203" s="7" t="str">
        <x:v>["networks_systems"]</x:v>
      </x:c>
      <x:c r="O203" s="7" t="str">
        <x:v>["title", "description"]</x:v>
      </x:c>
      <x:c r="P203" s="7" t="str">
        <x:v>[]</x:v>
      </x:c>
      <x:c r="Q203" s="8" t="str">
        <x:v>yes</x:v>
      </x:c>
      <x:c r="R203" s="8" t="str">
        <x:v>yes</x:v>
      </x:c>
      <x:c r="S203" s="8" t="str">
        <x:v>yes</x:v>
      </x:c>
      <x:c r="T203" s="7" t="str">
        <x:v>Reviewed against title, duties, mapped skills and detection sources.</x:v>
      </x:c>
    </x:row>
    <x:row r="204">
      <x:c r="A204" s="5" t="str">
        <x:v>other_technical</x:v>
      </x:c>
      <x:c r="B204" s="5" t="str">
        <x:v>203GHSV</x:v>
      </x:c>
      <x:c r="C204" s="7" t="str">
        <x:v>DevOps Engineer (M/F)</x:v>
      </x:c>
      <x:c r="D204" s="7" t="str">
        <x:v>As part of the automation of the integration and deployment of our clients' IT applications, you will be in charge of: - Build, maintain in operational conditions and improve the various integration and continuous deployment platforms - Define deployment processes - Deploy application releases to test and production environments - Ensure the availability of applications on a daily basis. - Analyze the infrastructure and operation (monitoring, performance optimization, etc.) - Investigate and correct anomalies and technical facts - Integrate, maintain, administer and document deployment tools, automate common tasks - Administer the processing of incident tickets - Apply validated changes to Linux, Oracle environments - Integrate and validate patches or fixes provided by the production team. - Supporting development and operational teams towards the DEVOPS methodology Skills required or to be acquired - You have developed versatile skills in the areas of Linux administration and knowledge of commonly used CI/CD tools - The DevOps approach no longer holds any secrets for you - You master the following subjects: administration of continuous integration tools such as Jenkins or Gitlab-CI, Nexus/Artifactory, Sonarqube etc. - Technologies around containers, Docker, Kubernetes, Rancher, Openshift/okd - Cloud providers, AWS, Azure, GCP - English TB level</x:v>
      </x:c>
      <x:c r="E204" s="5" t="str">
        <x:v>45000.0</x:v>
      </x:c>
      <x:c r="F204" s="5" t="str">
        <x:v>f2b15a0e-e65a-438a-affb-29b9d50b77d1</x:v>
      </x:c>
      <x:c r="G204" s="7" t="str">
        <x:v>["DevOps", "Jenkins (tools for software configuration management)", "Oracle Data Integrator", "maintain plan for continuity of operations", "solution deployment"]</x:v>
      </x:c>
      <x:c r="H204" s="7" t="str">
        <x:v>["DevOps", "Jenkins (tools for software configuration management)"]</x:v>
      </x:c>
      <x:c r="I204" s="7" t="str">
        <x:v>[]</x:v>
      </x:c>
      <x:c r="J204" s="7" t="str">
        <x:v>["cloud_devops"]</x:v>
      </x:c>
      <x:c r="K204" s="7" t="str">
        <x:v>["cloud_devops"]</x:v>
      </x:c>
      <x:c r="L204" s="7" t="str">
        <x:v>["cloud_devops", "networks_systems"]</x:v>
      </x:c>
      <x:c r="M204" s="7" t="str">
        <x:v>["cloud_devops", "networks_systems"]</x:v>
      </x:c>
      <x:c r="N204" s="7" t="str">
        <x:v>["cloud_devops"]</x:v>
      </x:c>
      <x:c r="O204" s="7" t="str">
        <x:v>["esco", "title", "description"]</x:v>
      </x:c>
      <x:c r="P204" s="7" t="str">
        <x:v>[]</x:v>
      </x:c>
      <x:c r="Q204" s="8" t="str">
        <x:v>yes</x:v>
      </x:c>
      <x:c r="R204" s="8" t="str">
        <x:v>yes</x:v>
      </x:c>
      <x:c r="S204" s="8" t="str">
        <x:v>yes</x:v>
      </x:c>
      <x:c r="T204" s="7" t="str">
        <x:v>Reviewed against title, duties, mapped skills and detection sources.</x:v>
      </x:c>
    </x:row>
    <x:row r="205">
      <x:c r="A205" s="5" t="str">
        <x:v>other_technical</x:v>
      </x:c>
      <x:c r="B205" s="5" t="str">
        <x:v>001860</x:v>
      </x:c>
      <x:c r="C205" s="7" t="str">
        <x:v>Windows Linux Systems Engineer M/F @santé</x:v>
      </x:c>
      <x:c r="D205" s="7" t="str">
        <x:v>The company supported and the missions: We support a leading healthcare establishment, recognized for the quality of its care pathways, medical innovation and the continuous modernization of its infrastructures, in the recruitment of a Windows/Linux Systems Engineer M/F. This major player in the hospital sector is leading numerous structuring projects, driven by: - sustained investments in medical and digital technologies, - a strong dynamic around digital transformation, data and cybersecurity, - the development of new services to patients and professionals, - an innovation policy focused on the performance of care and the patient experience. Each year, new projects emerge and several strategic positions are opened - many of which are creative - to support the growth of activity and the rise of digital tools. Not convinced yet? Read on! As part of its activity, the Digital Services Department is looking for a new employee to join the network systems and security team which carries out varied missions: - ensuring that platforms are maintained in operational condition - leading the design of technical architectures to meet business needs - leading the management of infrastructure projects to develop the existing system and deal with technical debt - ensuring technological monitoring Attached to a team of 3 people and under the responsibility of the team manager, the missions will be structured around 2 components: Ensure maintenance in operational condition (production) - carry out routine operations on system infrastructures (Active directory, Linux/Windows/AIX Servers, Messaging, O365, etc.), networks (LAN, WAN, Wifi, VoIP, etc.) and on security equipment (Firewall, Loadbalancer, Proxy, etc.) - manage operating incidents (diagnosis, processing, communication) by escalating the support cell Guarantee the evolution of technical infrastructures - identify the needs for change and the components involved (hardware, software, etc.) - lead the maturation phases of needs and solutions - ensure the engineering/architecture of technical platforms - participate/manage infrastructure projects - respect quality processes and HDS/ISO 27001 requirements Working conditions / In practice - 1 day of teleworking per week - 27 CP + 20 days of RTT - Proximity to public transport / parking / accessibility bicycle - Remuneration: 45/50K€ Profile: Hard skills - Windows Linux systems skills - ability to analyze in a complex environment - advanced skills in the areas: Active directory/messaging/O365 - appetite for security issues - ability to work in certified environments (ISO 27001 / HDS) Soft skills - strength of proposal - priority management, agility - listening and sense of contact - customer service - ability to collaborate and work with others teams The process * Application processing and meeting with Pierre or Thomas * 1 to 2 meetings on the client side</x:v>
      </x:c>
      <x:c r="E205" s="5" t="str">
        <x:v>47500.0</x:v>
      </x:c>
      <x:c r="F205" s="5" t="str">
        <x:v>16605833-c196-48d7-a6f5-bbdebdc353df</x:v>
      </x:c>
      <x:c r="G205" s="7" t="str">
        <x:v>["authoring software", "creatively use digital technologies", "cyber security", "hardware architectures", "manage major incidents", "proxy servers"]</x:v>
      </x:c>
      <x:c r="H205" s="7" t="str">
        <x:v>["cyber security"]</x:v>
      </x:c>
      <x:c r="I205" s="7" t="str">
        <x:v>[]</x:v>
      </x:c>
      <x:c r="J205" s="7" t="str">
        <x:v>["cybersecurity"]</x:v>
      </x:c>
      <x:c r="K205" s="7" t="str">
        <x:v>["networks_systems"]</x:v>
      </x:c>
      <x:c r="L205" s="7" t="str">
        <x:v>["cybersecurity", "networks_systems"]</x:v>
      </x:c>
      <x:c r="M205" s="7" t="str">
        <x:v>["cybersecurity", "networks_systems"]</x:v>
      </x:c>
      <x:c r="N205" s="7" t="str">
        <x:v>["cybersecurity", "networks_systems"]</x:v>
      </x:c>
      <x:c r="O205" s="7" t="str">
        <x:v>["esco", "title", "description"]</x:v>
      </x:c>
      <x:c r="P205" s="7" t="str">
        <x:v>[]</x:v>
      </x:c>
      <x:c r="Q205" s="8" t="str">
        <x:v>yes</x:v>
      </x:c>
      <x:c r="R205" s="8" t="str">
        <x:v>yes</x:v>
      </x:c>
      <x:c r="S205" s="8" t="str">
        <x:v>yes</x:v>
      </x:c>
      <x:c r="T205" s="7" t="str">
        <x:v>Reviewed against title, duties, mapped skills and detection sources.</x:v>
      </x:c>
    </x:row>
    <x:row r="206">
      <x:c r="A206" s="5" t="str">
        <x:v>other_technical</x:v>
      </x:c>
      <x:c r="B206" s="5" t="str">
        <x:v>27828365</x:v>
      </x:c>
      <x:c r="C206" s="7" t="str">
        <x:v>Technicien helpdesk (H/F)</x:v>
      </x:c>
      <x:c r="D206" s="7" t="str">
        <x:v>Actual Talent is the specialized division of Actual group, the 5th largest player in work and employment in France with a resolutely humanist vision. With our clients, we deploy Talent acquisition and evaluation solutions that build the performance of their organization today and tomorrow. For more than 20 years, our specialized consultants in our 13 offices in France have supported companies in the search for executives, experts and qualified profiles on temporary, permanent, fixed-term or service provision basis. Our team specialized in IT supports its client in the recruitment of its future Application Manager (F/M) on a permanent contract. Up Skills Lille is looking for a Helpdesk Technician M/F for its client for an interim mission of several months in Lille Your main missions will be: - Assistance to remote users - Incident management L1/L2 - Maintaining customer satisfaction - Writing technical procedures Start date: As soon as possible Proposed remuneration: 21/25KEUR Teleworking: according to agreements Advantages: TR We are looking for a candidate who is autonomous, dynamic and comfortable in the telephone exchanges. You know how to manage stress and are able to work in a constantly changing environment. With experience in a Support Technician position. You are familiar with the workstation environment and the Windows 7 and Windows 10 operating systems. You also have a good knowledge of the Office 2016 suite and/or Office 365 as well as messaging tools. You are rigorous, organized and have good team spirit. You have significant experience of at least 1 year in the field of computer maintenance,</x:v>
      </x:c>
      <x:c r="E206" s="5" t="str">
        <x:v>25000.0</x:v>
      </x:c>
      <x:c r="F206" s="5" t="str">
        <x:v>3e7bf729-4442-4b9f-ad5e-83111963795c</x:v>
      </x:c>
      <x:c r="G206" s="7" t="str">
        <x:v>["operating systems", "talent management strategies"]</x:v>
      </x:c>
      <x:c r="H206" s="7" t="str">
        <x:v>[]</x:v>
      </x:c>
      <x:c r="I206" s="7" t="str">
        <x:v>[]</x:v>
      </x:c>
      <x:c r="J206" s="7" t="str">
        <x:v>[]</x:v>
      </x:c>
      <x:c r="K206" s="7" t="str">
        <x:v>["networks_systems"]</x:v>
      </x:c>
      <x:c r="L206" s="7" t="str">
        <x:v>[]</x:v>
      </x:c>
      <x:c r="M206" s="7" t="str">
        <x:v>["networks_systems"]</x:v>
      </x:c>
      <x:c r="N206" s="7" t="str">
        <x:v>["networks_systems"]</x:v>
      </x:c>
      <x:c r="O206" s="7" t="str">
        <x:v>["title"]</x:v>
      </x:c>
      <x:c r="P206" s="7" t="str">
        <x:v>[]</x:v>
      </x:c>
      <x:c r="Q206" s="8" t="str">
        <x:v>yes</x:v>
      </x:c>
      <x:c r="R206" s="8" t="str">
        <x:v>yes</x:v>
      </x:c>
      <x:c r="S206" s="8" t="str">
        <x:v>yes</x:v>
      </x:c>
      <x:c r="T206" s="7" t="str">
        <x:v>Reviewed against title, duties, mapped skills and detection sources.</x:v>
      </x:c>
    </x:row>
    <x:row r="207">
      <x:c r="A207" s="5" t="str">
        <x:v>other_technical</x:v>
      </x:c>
      <x:c r="B207" s="5" t="str">
        <x:v>ab66be1f-22e1-4625-ac32-eb256bc5ca07</x:v>
      </x:c>
      <x:c r="C207" s="7" t="str">
        <x:v>Architecte Solution Cloud (H/F)</x:v>
      </x:c>
      <x:c r="D207" s="7" t="str">
        <x:v>Location: Paris (Rome Metro, Batignolles) Contract: Permanent Remuneration: €50,000 – €75,000 Experience: &gt; 2 years of operational experience in Infrastructure Training: Bac+5 (General or Specialized Engineering School in IT) ARION Search is recruiting for a client, it is a fast-growing Cloud expertise company (growth objective of 10% over the next few years), specialized in building and maintaining cloud-native IT infrastructures for its clients. Our client's mission is to transform their clients' business needs into cutting-edge technical solutions, using the best Cloud technologies on the market, with a quality-focused approach (DevOps methodology). This is a structure of around 130 people organized into verticals of expertise (Cloud, Security, Data, AI), where the candidate will embody the Cloud verticality. Summary of the Offer: A Unique Role in Technical Pre-Sales - Strategic Position: Pivot between technical expertise and business issues. - Package: €50k - €75k + Benefits (Restaurant Tickets, Mutual Insurance, Transport). - Location: Paris 17th (Batignolles), near the Rome Metro. - Flexibility: Teleworking authorized (up to 2 days/week) + 2 full weeks of annual full remote. - Career: Path to Management (Lead SA) or Technical Partnership (Partner Tech). This position is an essential pivot between business and technology. It's not about coding, it's about designing, convincing and selling the best possible Cloud infrastructure solution to prospects. Place in the team: You will join the Solution Architects team (currently 5 people), with daily rituals and close collaboration with Data/AI experts and salespeople. Your Main Missions (360°) 1) Conception and Technical Design (70% of the time): - Requirements gathering: Intervene very early alongside the sales team to understand the business and technical challenges of our prospects. - Target Architecture: Design the ideal Cloud solution (best cost, best technologies) to respond to their problem. - Planning: Establish the implementation strategy, the landing zone and budget estimates (trade-offs between performance, maintainability and speed). 2) Sales and Conviction (30% of the time): - Presentation: Pitching the technical solution designed to the client's decision-makers (DSI, CTO, General Management). - Popularization: Being able to synthesize and popularize complex technical choices to non-technical interlocutors. - Convince: Highlight the expertise of the firm to convince the client that it is the ideal partner to carry out its transformation. 3) Continuous Improvement: - Collaborate with other Architects in the group to optimize sales and design methods (Design). - Ensure the continuous improvement of technical proposals and the Book sold. Profile sought: Your Profile: Operational Expertise at the Service of Design We are looking for a technical expert profile who wishes to evolve into a design and consulting role. Essential Hard Skills: - Operational Experience (+2 years): You have gotten your hands on code and have built production infrastructures. - Cloud-Native: Mastery of Cloud-Native technologies: Containers, Orchestration (Kubernetes), Infra as Code (Terraform). - Cloud Providers: In-depth knowledge of the service catalog of at least one of the hyperscalers: AWS, GCP, or Azure. - Best Practices: Knowledge of Landing Zone and Infra as Code best practices. - Bonus: Interest in broader infrastructure (Private Cloud, VMWare/Proxmox Hypervisors, Network/Storage). Critical Soft Skills (Essential Elements): - Pedagogy and Popularization: Knowing how to be clear, concise, and adapting one's speech to all levels of interlocutors, including Managers. - Enthusiasm and Professional Posture: Be ambitious, exude serenity under pressure and make people want to work with you. - Excellence and Humility: Be demanding on the quality of work (search for excellence) while accepting feedback without resistance and knowing how to say 'I don't know'. - Proactivity and Trade-Offs: Be proactive and able to define the right compromises (trade-offs) between a perfect solution and a functional/maintainable solution that quickly advances the project.</x:v>
      </x:c>
      <x:c r="E207" s="5" t="str">
        <x:v>62500.0</x:v>
      </x:c>
      <x:c r="F207" s="5" t="str">
        <x:v>e0b544dd-b621-4126-a55e-054af25c6ea0</x:v>
      </x:c>
      <x:c r="G207" s="7" t="str">
        <x:v>["DevOps", "coordinate security", "design cloud architecture", "management consulting", "research design"]</x:v>
      </x:c>
      <x:c r="H207" s="7" t="str">
        <x:v>["DevOps"]</x:v>
      </x:c>
      <x:c r="I207" s="7" t="str">
        <x:v>[]</x:v>
      </x:c>
      <x:c r="J207" s="7" t="str">
        <x:v>["cloud_devops"]</x:v>
      </x:c>
      <x:c r="K207" s="7" t="str">
        <x:v>[]</x:v>
      </x:c>
      <x:c r="L207" s="7" t="str">
        <x:v>["cloud_devops"]</x:v>
      </x:c>
      <x:c r="M207" s="7" t="str">
        <x:v>["cloud_devops"]</x:v>
      </x:c>
      <x:c r="N207" s="7" t="str">
        <x:v>["cloud_devops"]</x:v>
      </x:c>
      <x:c r="O207" s="7" t="str">
        <x:v>["esco", "description"]</x:v>
      </x:c>
      <x:c r="P207" s="7" t="str">
        <x:v>[]</x:v>
      </x:c>
      <x:c r="Q207" s="8" t="str">
        <x:v>yes</x:v>
      </x:c>
      <x:c r="R207" s="8" t="str">
        <x:v>yes</x:v>
      </x:c>
      <x:c r="S207" s="8" t="str">
        <x:v>yes</x:v>
      </x:c>
      <x:c r="T207" s="7" t="str">
        <x:v>Reviewed against title, duties, mapped skills and detection sources.</x:v>
      </x:c>
    </x:row>
    <x:row r="208">
      <x:c r="A208" s="5" t="str">
        <x:v>other_technical</x:v>
      </x:c>
      <x:c r="B208" s="5" t="str">
        <x:v>8ff95fbd-d5b8-4fec-9317-b6725b1e3510</x:v>
      </x:c>
      <x:c r="C208" s="7" t="str">
        <x:v>Systems, Networks &amp; Security Administrator F/M - Oceania Hotels</x:v>
      </x:c>
      <x:c r="D208" s="7" t="str">
        <x:v>Reporting to the IT Department, you act as an infrastructure &amp; cybersecurity referent within the group. As such, you: - Administer servers, infrastructure services and Azure AD / Microsoft 365 environments. - Manage headquarters / hotel networks: LAN/WAN, VPN, VLAN, managed Wi-Fi, filtering and firewalls. - Manage security systems on a daily basis (EDR, managed SOC, M365 security, MDM) and contribute to the hardening of environments. - Provide level 2/3 support to support technicians and hotel teams on complex incidents. - Contribute to industrialization: automation (scripts), standardization of sites, documentation, indicators. - Bac+3/5 in IT, systems &amp; networks or cybersecurity. - 3 to 5 years of experience in systems &amp; network administration, ideally in a multi-site / service environment. - Mastery of Windows / Linux fundamentals, networks (TCP/IP, VLAN, VPN, firewalling) and Microsoft cloud environments (Azure AD, M365, Intune). - Sense of service, rigor, autonomy, taste for continuous improvement and operational cybersecurity.</x:v>
      </x:c>
      <x:c r="E208" s="5" t="str">
        <x:v>36000.0</x:v>
      </x:c>
      <x:c r="F208" s="5" t="str">
        <x:v>81480b40-a318-47f3-9b2c-56b69ed67d95</x:v>
      </x:c>
      <x:c r="G208" s="7" t="str">
        <x:v>["continuous improvement philosophies", "cyber security", "define firewall rules", "patient autonomy", "provide user documentation"]</x:v>
      </x:c>
      <x:c r="H208" s="7" t="str">
        <x:v>["cyber security"]</x:v>
      </x:c>
      <x:c r="I208" s="7" t="str">
        <x:v>[]</x:v>
      </x:c>
      <x:c r="J208" s="7" t="str">
        <x:v>["cybersecurity"]</x:v>
      </x:c>
      <x:c r="K208" s="7" t="str">
        <x:v>[]</x:v>
      </x:c>
      <x:c r="L208" s="7" t="str">
        <x:v>["cybersecurity", "networks_systems"]</x:v>
      </x:c>
      <x:c r="M208" s="7" t="str">
        <x:v>["cybersecurity", "networks_systems"]</x:v>
      </x:c>
      <x:c r="N208" s="7" t="str">
        <x:v>["cybersecurity"]</x:v>
      </x:c>
      <x:c r="O208" s="7" t="str">
        <x:v>["esco", "description"]</x:v>
      </x:c>
      <x:c r="P208" s="7" t="str">
        <x:v>[]</x:v>
      </x:c>
      <x:c r="Q208" s="8" t="str">
        <x:v>yes</x:v>
      </x:c>
      <x:c r="R208" s="8" t="str">
        <x:v>no</x:v>
      </x:c>
      <x:c r="S208" s="8" t="str">
        <x:v>yes</x:v>
      </x:c>
      <x:c r="T208" s="7" t="str">
        <x:v>Η cybersecurity είναι σωστή αλλά λείπει networks/systems από τον Systems, Networks &amp; Security Administrator.</x:v>
      </x:c>
    </x:row>
    <x:row r="209">
      <x:c r="A209" s="5" t="str">
        <x:v>other_technical</x:v>
      </x:c>
      <x:c r="B209" s="5" t="str">
        <x:v>001881</x:v>
      </x:c>
      <x:c r="C209" s="7" t="str">
        <x:v>Devops SRE H/F</x:v>
      </x:c>
      <x:c r="D209" s="7" t="str">
        <x:v>The supported company and the missions: Do you want to contribute to a useful and innovative project, serving more sustainable and inclusive mobility? Join a young impactful technology company, which is reinventing the uses of carpooling through a collaborative and civic approach. Actor of a true new generation public service, this structure develops digital solutions with high added value, co-constructed with the territories and their users. Its mission: to promote shared mobility, reduce the carbon footprint of travel, and strengthen social ties. Growing rapidly and driven by an ambitious societal vision, it is today strengthening its Tech team with the support of the recruitment firm Externatic, a partner dedicated to IT recruitment on permanent contracts, excluding ESN. Your missions: Make an impactful infrastructure more reliable and evolve. As a Site Reliability Engineer (SRE), you play a central role in the technical team, reporting directly to the Principal Engineer. Your mission: to guarantee the reliability, performance and security of production environments, while supporting development teams. You actively participate in the implementation of DevOps tooling, processes and best practices in a modern, cloud-native environment. Your role: Provide support for deployments and production of new features; Supervise and maintain the infrastructure, including the scaling of APIs and the event system; Administer rights, permissions and repositories (GitHub); Design and maintain scripts, middleware and monitoring tools; Manage API Gateway and associated flows; Collaborate with developers to make deployments more reliable with a logic of automation and continuous improvement. Profile: You have at least 5 years of experience as an SRE / DevOps Engineer, ideally in an agile environment, such as a start-up or scale-up. Technical skills: Infrastructure as Code: mastery of Terraform; CI/CD and versioning: excellent knowledge of GitHub Actions and advanced repository management; Orchestration: solid experience with Kubernetes; Language agnostic: ability to develop tools or scripts regardless of the language used; Security: DevSecOps best practices and environment security. Could be a plus: Knowledge of an event system; Mastery of monitoring tools (OpenTelemetry, observability, tracing, etc.). You recognize yourself in these qualities: curiosity, autonomy, team spirit, reliability, ability to adapt... with a good dose of humor to nourish conviviality within the team! Advantages: What you will gain: A project with a strong societal impact, aligned with human and environmental values; A package of 215 days/year including 5 weeks of paid leave + 11 to 17 RTT depending on the calendar; Vacation bonus paid each summer; Mutual Alan, meal vouchers (Swile), 50% coverage of transport or IK bike; Regular team and company seminars to cultivate the collective; A stimulating and caring environment, with modern tech practices. Working conditions: - Salary: €50,000 to €55,000 / year depending on profile and experience - Teleworking: 2 days of teleworking / week - Location: Lyon (Villeurbanne) The recruitment process: With Externatic: An in-depth interview to better understand your expectations and validate your suitability for the position, Ms. Audrey THIERY With the company: Two to three interviews with the technical and HR teams.</x:v>
      </x:c>
      <x:c r="E209" s="5" t="str">
        <x:v>52500.0</x:v>
      </x:c>
      <x:c r="F209" s="5" t="str">
        <x:v>f2b15a0e-e65a-438a-affb-29b9d50b77d1</x:v>
      </x:c>
      <x:c r="G209" s="7" t="str">
        <x:v>["DevOps", "continuous improvement philosophies", "demonstrate curiosity", "develop innovative mobility solutions", "manage intellectual property rights", "patient autonomy", "solution deployment", "supervise employees in food production plants"]</x:v>
      </x:c>
      <x:c r="H209" s="7" t="str">
        <x:v>["DevOps"]</x:v>
      </x:c>
      <x:c r="I209" s="7" t="str">
        <x:v>["demonstrate curiosity", "supervise employees in food production plants"]</x:v>
      </x:c>
      <x:c r="J209" s="7" t="str">
        <x:v>["cloud_devops"]</x:v>
      </x:c>
      <x:c r="K209" s="7" t="str">
        <x:v>["cloud_devops"]</x:v>
      </x:c>
      <x:c r="L209" s="7" t="str">
        <x:v>["cloud_devops"]</x:v>
      </x:c>
      <x:c r="M209" s="7" t="str">
        <x:v>["cloud_devops"]</x:v>
      </x:c>
      <x:c r="N209" s="7" t="str">
        <x:v>["cloud_devops"]</x:v>
      </x:c>
      <x:c r="O209" s="7" t="str">
        <x:v>["esco", "title", "description"]</x:v>
      </x:c>
      <x:c r="P209" s="7" t="str">
        <x:v>["creativity", "leadership"]</x:v>
      </x:c>
      <x:c r="Q209" s="8" t="str">
        <x:v>yes</x:v>
      </x:c>
      <x:c r="R209" s="8" t="str">
        <x:v>yes</x:v>
      </x:c>
      <x:c r="S209" s="8" t="str">
        <x:v>yes</x:v>
      </x:c>
      <x:c r="T209" s="7" t="str">
        <x:v>Reviewed against title, duties, mapped skills and detection sources.</x:v>
      </x:c>
    </x:row>
    <x:row r="210">
      <x:c r="A210" s="5" t="str">
        <x:v>other_technical</x:v>
      </x:c>
      <x:c r="B210" s="5" t="str">
        <x:v>27952408</x:v>
      </x:c>
      <x:c r="C210" s="7" t="str">
        <x:v>Network and cybersecurity administrator (M/F)</x:v>
      </x:c>
      <x:c r="D210" s="7" t="str">
        <x:v>Actual Talent Metz is looking for a Network and Cybersecurity Administrator M/F in the Strasbourg sector as part of a long-term interim mission for one of its clients. As part of a need for reinforcement, the missions that will be entrusted to you are as follows: - Resolve incidents or coordinate their handling by the teams or service providers concerned - Ensure the follow-up of tickets until their closure - Participate in the management of major incidents and crisis units - Train and support users in the use of the tools - Administer and configure the tools and knowledge bases - Write and maintain technical documentation and procedures - Contribute to the supervision and management securing infrastructures - Work on Cisco network environments (switch, Wi-Fi) and security (Stormshield firewall) - Participate in infrastructure and tools development projects Remuneration elements: - Salary: 35k to 38k gross annual - Benefits: Restaurant vouchers Profile sought: - You have a Bac +2 to Bac +5 diploma or training in IT - You have successful experience in a similar position, in a network and security environment - Good knowledge of Cisco equipment (switches, Wi-Fi) - Experience or solid foundations on Stormshield firewalls - Knowledge of supervision and good security practices - Project management concepts appreciated - Autonomy, rigor and good interpersonal skills</x:v>
      </x:c>
      <x:c r="E210" s="5" t="str">
        <x:v>37500.0</x:v>
      </x:c>
      <x:c r="F210" s="5" t="str">
        <x:v>aaeec9a7-dc57-4485-890c-86b3eef735f9</x:v>
      </x:c>
      <x:c r="G210" s="7" t="str">
        <x:v>["provide technical documentation", "supervision of persons"]</x:v>
      </x:c>
      <x:c r="H210" s="7" t="str">
        <x:v>[]</x:v>
      </x:c>
      <x:c r="I210" s="7" t="str">
        <x:v>[]</x:v>
      </x:c>
      <x:c r="J210" s="7" t="str">
        <x:v>[]</x:v>
      </x:c>
      <x:c r="K210" s="7" t="str">
        <x:v>["cybersecurity"]</x:v>
      </x:c>
      <x:c r="L210" s="7" t="str">
        <x:v>["cybersecurity"]</x:v>
      </x:c>
      <x:c r="M210" s="7" t="str">
        <x:v>["cybersecurity"]</x:v>
      </x:c>
      <x:c r="N210" s="7" t="str">
        <x:v>["cybersecurity"]</x:v>
      </x:c>
      <x:c r="O210" s="7" t="str">
        <x:v>["title", "description"]</x:v>
      </x:c>
      <x:c r="P210" s="7" t="str">
        <x:v>[]</x:v>
      </x:c>
      <x:c r="Q210" s="8" t="str">
        <x:v>yes</x:v>
      </x:c>
      <x:c r="R210" s="8" t="str">
        <x:v>no</x:v>
      </x:c>
      <x:c r="S210" s="8" t="str">
        <x:v>yes</x:v>
      </x:c>
      <x:c r="T210" s="7" t="str">
        <x:v>Λείπει networks/systems από τον Network and Cybersecurity Administrator.</x:v>
      </x:c>
    </x:row>
    <x:row r="211">
      <x:c r="A211" s="5" t="str">
        <x:v>other_technical</x:v>
      </x:c>
      <x:c r="B211" s="5" t="str">
        <x:v>qlvi2g3nj7</x:v>
      </x:c>
      <x:c r="C211" s="7" t="str">
        <x:v>DevOps Engineer (M/F)</x:v>
      </x:c>
      <x:c r="D211" s="7" t="str">
        <x:v>RESPONSIBILITIES: Our Inclusion and Diversity division, specialized in the recruitment of people with disabilities, supports an innovative company that develops collaborative and technological software solutions used in an international environment. Growing, it is now looking for a: DevOps Engineer (M/F) CDI - PARIS SUD - FROM 45K Within the R&amp;D team, you will be responsible for the management and automation of the company's cloud platforms. You will work closely with development teams to ensure the availability, performance and security of applications and services, while improving processes through automation. Your main missions: • Develop and maintain continuous integration and continuous deployment tools and pipelines. • Develop automation and infrastructure management solutions. • React quickly to incidents and ensure service reliability. • Implement monitoring and supervision tools. • Collaborate with teams to guarantee the performance and security of services. • Participate in the continuous improvement of development and infrastructure processes and tools PROFILE WANTED: Coming from a Bac +5 training (engineering school or university), you have at least 3 years of experience in cloud operations (SRE or Cloud). You have excellent command of Linux and Kubernetes. Knowledge of AWS is highly appreciated, as well as expertise in networking, system architecture, web protocols and security. Development experience (Python, Golang or Java) is an asset. You are rigorous, responsive and passionate about automation and DevOps methodology. A command of English is essential to operate in an international context (Level C1 required). Framework and benefits of the position: • Permanent contract with executive status • Teleworking: 2 days/week. • Others: RTT, mutual insurance and retirement provision, company savings plan, CE with numerous advantages, parking or reimbursement of transport tickets (75%). • Career development opportunities with a training plan and internal mobility • You work in a multicultural and innovative work environment, with a strong commitment to diversity and inclusion. With equal skills and qualifications, priority will be given to a person with an RQTH (or other BOETH title). Recruitment process: NEXTGEN RH, a multi-specialist headhunting firm, supports you throughout the recruitment process through a fundamentally human approach: a single contact throughout the process. 1 / Video interview with your recruitment manager 2 / Tests and interviews with our client</x:v>
      </x:c>
      <x:c r="E211" s="5" t="str">
        <x:v>52500.0</x:v>
      </x:c>
      <x:c r="F211" s="5" t="str">
        <x:v>e1c72b5f-4c5c-487c-a6df-e84b64a51dae</x:v>
      </x:c>
      <x:c r="G211" s="7" t="str">
        <x:v>["DevOps", "coordinate security", "perform follow-up on pipeline route services", "react to emergency situations in a live performance environment", "solution deployment", "supervision of persons", "support employability of people with disabilities", "system design"]</x:v>
      </x:c>
      <x:c r="H211" s="7" t="str">
        <x:v>["DevOps"]</x:v>
      </x:c>
      <x:c r="I211" s="7" t="str">
        <x:v>[]</x:v>
      </x:c>
      <x:c r="J211" s="7" t="str">
        <x:v>["cloud_devops"]</x:v>
      </x:c>
      <x:c r="K211" s="7" t="str">
        <x:v>["cloud_devops"]</x:v>
      </x:c>
      <x:c r="L211" s="7" t="str">
        <x:v>["software", "cloud_devops", "networks_systems"]</x:v>
      </x:c>
      <x:c r="M211" s="7" t="str">
        <x:v>["cloud_devops", "networks_systems", "software"]</x:v>
      </x:c>
      <x:c r="N211" s="7" t="str">
        <x:v>["cloud_devops"]</x:v>
      </x:c>
      <x:c r="O211" s="7" t="str">
        <x:v>["esco", "title", "description"]</x:v>
      </x:c>
      <x:c r="P211" s="7" t="str">
        <x:v>[]</x:v>
      </x:c>
      <x:c r="Q211" s="8" t="str">
        <x:v>yes</x:v>
      </x:c>
      <x:c r="R211" s="8" t="str">
        <x:v>yes</x:v>
      </x:c>
      <x:c r="S211" s="8" t="str">
        <x:v>yes</x:v>
      </x:c>
      <x:c r="T211" s="7" t="str">
        <x:v>Reviewed against title, duties, mapped skills and detection sources.</x:v>
      </x:c>
    </x:row>
    <x:row r="212">
      <x:c r="A212" s="5" t="str">
        <x:v>other_technical</x:v>
      </x:c>
      <x:c r="B212" s="5" t="str">
        <x:v>001761</x:v>
      </x:c>
      <x:c r="C212" s="7" t="str">
        <x:v>Network Administrator – Datacenters &amp; Security M/F</x:v>
      </x:c>
      <x:c r="D212" s="7" t="str">
        <x:v>The company supported and the missions: Join a French company on a human scale, expert in infrastructure hosting and management of new generation data centers. Operating its own highly secure hosting sites, this company has established itself as a key player in the reliability, security and performance of IT infrastructures. At the heart of its strategy: a sovereign and sustainable approach to the cloud, associated with a strong culture of innovation and concrete R&amp;D projects around networking, virtualization and automation. As part of its development, this company is supported by Externatic, a recruitment firm specializing in IT professions, for the permanent recruitment of a confirmed Network Administrator. Reporting to the Technical Director, you ensure the maintenance, operation and development of the network infrastructures of the two data centers, with a view to performance, security and maximum availability. Your responsibilities revolve around several areas: Network supervision and MCO: guaranteeing the stability, availability and performance of interconnections between data centers; proactive management of incidents, patches, updates and topology changes. Administration and security of network equipment: configuration, optimization and maintenance of LAN / WAN / VLAN solutions, routing (OSPF, BGP), and security devices. Network security &amp; firewall: management of Stormshield equipment, filtering rules, VPN, NAT and segmentation policies; participation in audits and alert management with security/SOC teams. Management of LAN / SAN / interconnection infrastructures: traffic monitoring, optimization of network performance for critical flows (backups, replication, storage). Administration of PFSense gateways: design and management of redundant and secure architectures, load-balancing and high availability. R&amp;D and technological monitoring: exploration of new protocols, testing of innovative architectures, contribution to network development projects. Documentation &amp; reporting: writing of technical procedures, participation in audits and regular follow-up with management. Profile: Graduate of Bac +3 to Bac +5 training in networks, telecommunications or IT systems, you have significant experience (3 to 5 years minimum) in network administration, ideally in a data center context or high availability environment. Your technical skills: Very good command of Stormshield equipment (or equivalent: Fortinet, Palo Alto, Cisco ASA, etc.). Strong experience with LAN/WAN/VLAN architectures, dynamic routing (OSPF, BGP) and network protocols (TCP/IP, MPLS, VPN, NAT). Skills in SAN / storage / replication infrastructures. Knowledge or hands-on experience with PFSense (or similar solutions). Good command of supervision, alerting and performance analysis tools. Spirit of automation (scripts, API, Infrastructure as Code) appreciated. Sufficient technical English for documentation and technology monitoring. Your human qualities: Rigor, curiosity, autonomy and sense of service are your assets. You enjoy solving complex problems, collaborating within a demanding technical team and contributing to the continuous improvement of infrastructures. Advantages: Remuneration between 35 and 42 K€ gross annually, depending on profile and experience. Partial teleworking possible and organizational flexibility. - Possibility of on-call or interventions outside normal mutual hours, restaurant vouchers, CSE benefits, and continuing training. Premises located in Rodez or Figeac, accessible, in a collaborative and innovative work environment. Participation in concrete and rewarding R&amp;D projects. Recruitment process1️⃣ A first interview with Raphael from externatic to take stock of your career path and your expectations. 2️⃣ A recruitment process with the technical team and management of the supported company. Externatic is committed to guaranteeing you transparency, responsiveness and personalized support throughout the process.</x:v>
      </x:c>
      <x:c r="E212" s="5" t="str">
        <x:v>38500.0</x:v>
      </x:c>
      <x:c r="F212" s="5" t="str">
        <x:v>81480b40-a318-47f3-9b2c-56b69ed67d95</x:v>
      </x:c>
      <x:c r="G212" s="7" t="str">
        <x:v>["ICT infrastructure", "automation technology", "business ICT systems", "conduct financial audits", "coordinate security", "demonstrate curiosity", "follow up orders for customers", "manage ICT virtualisation environments", "manage maintenance operations", "patient autonomy", "provide user documentation", "recruit personnel", "supervision of persons", "telecommunication industry"]</x:v>
      </x:c>
      <x:c r="H212" s="7" t="str">
        <x:v>[]</x:v>
      </x:c>
      <x:c r="I212" s="7" t="str">
        <x:v>["demonstrate curiosity"]</x:v>
      </x:c>
      <x:c r="J212" s="7" t="str">
        <x:v>[]</x:v>
      </x:c>
      <x:c r="K212" s="7" t="str">
        <x:v>["networks_systems"]</x:v>
      </x:c>
      <x:c r="L212" s="7" t="str">
        <x:v>["cybersecurity", "networks_systems"]</x:v>
      </x:c>
      <x:c r="M212" s="7" t="str">
        <x:v>["cybersecurity", "networks_systems"]</x:v>
      </x:c>
      <x:c r="N212" s="7" t="str">
        <x:v>["networks_systems"]</x:v>
      </x:c>
      <x:c r="O212" s="7" t="str">
        <x:v>["title", "description"]</x:v>
      </x:c>
      <x:c r="P212" s="7" t="str">
        <x:v>["creativity"]</x:v>
      </x:c>
      <x:c r="Q212" s="8" t="str">
        <x:v>yes</x:v>
      </x:c>
      <x:c r="R212" s="8" t="str">
        <x:v>yes</x:v>
      </x:c>
      <x:c r="S212" s="8" t="str">
        <x:v>yes</x:v>
      </x:c>
      <x:c r="T212" s="7" t="str">
        <x:v>Reviewed against title, duties, mapped skills and detection sources.</x:v>
      </x:c>
    </x:row>
    <x:row r="213">
      <x:c r="A213" s="5" t="str">
        <x:v>other_technical</x:v>
      </x:c>
      <x:c r="B213" s="5" t="str">
        <x:v>28442729</x:v>
      </x:c>
      <x:c r="C213" s="7" t="str">
        <x:v>IT PROJECT MANAGER M/F</x:v>
      </x:c>
      <x:c r="D213" s="7" t="str">
        <x:v>The headquarters of the ALTEMA Group based in Jebsheim is recruiting an IT Project Manager (M/F)! Join us! You will ensure the planning, organization and technical coordination of all development and security projects for our Information System (IS). You are responsible for the proper execution of infrastructure projects while strictly respecting schedules and quality standards. Your daily life? Organization and Planning - Establish the roadmap: Define and maintain detailed project plans, including sequencing tasks, identifying critical dependencies and critical paths. - Manage resources and deadlines: Coordinate internal technical and/or operational teams and service providers, ensuring perfect synchronization of efforts to meet set deadlines. - Organize governance: Plan and lead follow-up meetings in a structured manner (Project Committees, technical points) by preparing clear and concise materials. - Control risks: Identify, evaluate and monitor technical and organizational risks, by implementing mitigation plans. - Quality of deliverables: Organize and supervise the testing, technical acceptance and validation phases of compliance with standards (e.g.: ISO 27001). - Reporting: Produce accurate and reliable progress reporting for non-technical stakeholders. Technical Management and Cybersecurity - Technical framing: Collect, analyze and formalize technical needs for infrastructure (networks, servers, Cloud, virtualization) and cybersecurity. The advantages: - 13th month/Holiday bonus - KM allowances - Restaurant vouchers - Mutual insurance and welfare - Work from Monday to Friday - A personalized integration course Your contribution? - You have higher education and professional experience of at least 5 years in an equivalent position - You are proficient in project management, you have implemented business applications and have participated in the digitalization of activities - Ideally you know the business priorities of B to B in the construction sector - Your sense of organization and analysis, your rigor, your strength of proposal, your availability, your team spirit, your interpersonal skills - You share the same values as ALTEMA (together, close to our customers, experts and entrepreneurs). - Your dynamism, your personality and your desire to join us will make the difference. Would you like to know more? So, send us your application and let’s meet!</x:v>
      </x:c>
      <x:c r="E213" s="5" t="str">
        <x:v>40000.0</x:v>
      </x:c>
      <x:c r="F213" s="5" t="str">
        <x:v>8b6388a4-4904-471b-9331-d3b1211f5525</x:v>
      </x:c>
      <x:c r="G213" s="7" t="str">
        <x:v>["create project specifications", "cyber security", "lead board meetings", "manage resources", "manage technical security systems", "manage water quality testing", "technical terminology"]</x:v>
      </x:c>
      <x:c r="H213" s="7" t="str">
        <x:v>["cyber security"]</x:v>
      </x:c>
      <x:c r="I213" s="7" t="str">
        <x:v>[]</x:v>
      </x:c>
      <x:c r="J213" s="7" t="str">
        <x:v>["cybersecurity"]</x:v>
      </x:c>
      <x:c r="K213" s="7" t="str">
        <x:v>[]</x:v>
      </x:c>
      <x:c r="L213" s="7" t="str">
        <x:v>["cybersecurity"]</x:v>
      </x:c>
      <x:c r="M213" s="7" t="str">
        <x:v>["cybersecurity"]</x:v>
      </x:c>
      <x:c r="N213" s="7" t="str">
        <x:v>["cybersecurity"]</x:v>
      </x:c>
      <x:c r="O213" s="7" t="str">
        <x:v>["esco", "description"]</x:v>
      </x:c>
      <x:c r="P213" s="7" t="str">
        <x:v>[]</x:v>
      </x:c>
      <x:c r="Q213" s="8" t="str">
        <x:v>yes</x:v>
      </x:c>
      <x:c r="R213" s="8" t="str">
        <x:v>yes</x:v>
      </x:c>
      <x:c r="S213" s="8" t="str">
        <x:v>yes</x:v>
      </x:c>
      <x:c r="T213" s="7" t="str">
        <x:v>Reviewed against title, duties, mapped skills and detection sources.</x:v>
      </x:c>
    </x:row>
    <x:row r="214">
      <x:c r="A214" s="5" t="str">
        <x:v>other_technical</x:v>
      </x:c>
      <x:c r="B214" s="5" t="str">
        <x:v>vgr8ajw4aa</x:v>
      </x:c>
      <x:c r="C214" s="7" t="str">
        <x:v>IT Support Technician - F/M</x:v>
      </x:c>
      <x:c r="D214" s="7" t="str">
        <x:v>RESPONSIBILITIES: Employee know-how and mastery of a complex industrial process are the keys to the success of the BIGARD Group. Its operation, as well as its evolution, are also closely associated with the performance of its Information System, developed and maintained by the Group Information Systems Department. Within a team with extensive experience, you will be trained and supported, in order to understand the environment in which you will be required to evolve. Your missions are as follows: • Install the site's computer equipment in compliance with security rules • Participate in the management of the IT equipment (stations, printers, labelers, bar code readers, etc.) • Assist users locally or remotely • Work on the hardware and software (locally or remotely) • Participate in the implementation of the Group's tools • Assist the IT administrators in their tasks • Monitor and control the proper functioning of the various components of the Information System • Document your activity, and contribute to the enrichment of the various DSI applications (GLPI, Wiki, Mattermost, etc.) PROFILE WANTED: With a BAC+2 training in IT, you have initial experience. With good communication skills, you enjoy working as a team in a changing environment, and you have a sense of service. Dynamic, you are organized and rigorous in your various missions. You know the operating principles of networks, industrial computing and the main office tools. You want to contribute to numerous projects and enjoy taking on challenges. Do you recognize yourself in this description? Come join the Bigard adventure! Conditions of the position: • Position based in Cuiseaux (71) • Occasional trips to group sites are to be expected • Remuneration defined according to your experience and profile which is part of an attractive package: o A personalized transport allowance, based on your daily journeys o Employee savings schemes o Mutual guarantees adapted to your personal and family situation, as well as effective pension provision o A company restaurant for lunches taken on site</x:v>
      </x:c>
      <x:c r="E214" s="5" t="str">
        <x:v>32500.0</x:v>
      </x:c>
      <x:c r="F214" s="5" t="str">
        <x:v>3e7bf729-4442-4b9f-ad5e-83111963795c</x:v>
      </x:c>
      <x:c r="G214" s="7" t="str">
        <x:v>["label components", "printing materials"]</x:v>
      </x:c>
      <x:c r="H214" s="7" t="str">
        <x:v>[]</x:v>
      </x:c>
      <x:c r="I214" s="7" t="str">
        <x:v>[]</x:v>
      </x:c>
      <x:c r="J214" s="7" t="str">
        <x:v>[]</x:v>
      </x:c>
      <x:c r="K214" s="7" t="str">
        <x:v>["networks_systems"]</x:v>
      </x:c>
      <x:c r="L214" s="7" t="str">
        <x:v>[]</x:v>
      </x:c>
      <x:c r="M214" s="7" t="str">
        <x:v>["networks_systems"]</x:v>
      </x:c>
      <x:c r="N214" s="7" t="str">
        <x:v>["networks_systems"]</x:v>
      </x:c>
      <x:c r="O214" s="7" t="str">
        <x:v>["title"]</x:v>
      </x:c>
      <x:c r="P214" s="7" t="str">
        <x:v>[]</x:v>
      </x:c>
      <x:c r="Q214" s="8" t="str">
        <x:v>yes</x:v>
      </x:c>
      <x:c r="R214" s="8" t="str">
        <x:v>yes</x:v>
      </x:c>
      <x:c r="S214" s="8" t="str">
        <x:v>yes</x:v>
      </x:c>
      <x:c r="T214" s="7" t="str">
        <x:v>Reviewed against title, duties, mapped skills and detection sources.</x:v>
      </x:c>
    </x:row>
    <x:row r="215">
      <x:c r="A215" s="5" t="str">
        <x:v>other_technical</x:v>
      </x:c>
      <x:c r="B215" s="5" t="str">
        <x:v>haysfrance_1443607_1771862128</x:v>
      </x:c>
      <x:c r="C215" s="7" t="str">
        <x:v>Security Network Administrator N2 M/F</x:v>
      </x:c>
      <x:c r="D215" s="7" t="str">
        <x:v>Main responsibilities: * Provide technical support and level 2 corrective maintenance (MCO) to ensure optimal availability of services. * Maintain continuity of service and stability of infrastructure. * Escalate major incidents to the SDM to accelerate their resolution. * Contribute to the enrichment and updating of technical documentation. * Participate in infrastructure development, optimization and modernization projects. * Support operational teams in the implementation of technical solutions, diagnose malfunctions and propose appropriate corrective actions. * Ensure continuous technological monitoring in order to identify avenues for improvement and innovative solutions. * Collaborate with business experts to define and apply management rules, as well as safety and quality standards. * Check the conformity of components and applications developed. Technical environment: * Network equipment: Cisco, Arista, Aruba * Firewall / Network security: Palo Alto, Fortinet What you need to succeed: You have benefited from Diploma Training in IT (Generalist or Specialized). You have at least 3 years of professional experience within complex infrastructures and/or demanding IT environments. You have strong skills in IT Security and Networks. You ideally have certifications related to the technical environment. You have a good level of technical (professional) English: get by orally /!\. You are versatile and a good communicator (multi-client relationship). You have great integration and adaptation skills. Permanent position, based in Nîmes (30). Startup: Flexibility. Remuneration: Fixed - 32 to 40K Benefits: * Paid leave + Exceptional leave (sick child, endometriosis, IVS) + Paternity and maternity leave covered at 100%. * Restaurant vouchers (10€/day worked, PeC 60%) &amp; Mutual * Participation bonus / profit-sharing &amp; Holiday bonus * Bicycle/carpooling allowances for sustainable travel * CSE / Employee shareholding / Internal mobility * Numerous commitments for diversity and diversity * Disability policy, professional equality agreement</x:v>
      </x:c>
      <x:c r="E215" s="5" t="str">
        <x:v>36000.0</x:v>
      </x:c>
      <x:c r="F215" s="5" t="str">
        <x:v>0464b062-cea6-4164-b10d-956c61956ae7</x:v>
      </x:c>
      <x:c r="G215" s="7" t="str">
        <x:v>["interpret technical texts"]</x:v>
      </x:c>
      <x:c r="H215" s="7" t="str">
        <x:v>[]</x:v>
      </x:c>
      <x:c r="I215" s="7" t="str">
        <x:v>[]</x:v>
      </x:c>
      <x:c r="J215" s="7" t="str">
        <x:v>[]</x:v>
      </x:c>
      <x:c r="K215" s="7" t="str">
        <x:v>["networks_systems"]</x:v>
      </x:c>
      <x:c r="L215" s="7" t="str">
        <x:v>["cybersecurity"]</x:v>
      </x:c>
      <x:c r="M215" s="7" t="str">
        <x:v>["cybersecurity", "networks_systems"]</x:v>
      </x:c>
      <x:c r="N215" s="7" t="str">
        <x:v>["networks_systems"]</x:v>
      </x:c>
      <x:c r="O215" s="7" t="str">
        <x:v>["title", "description"]</x:v>
      </x:c>
      <x:c r="P215" s="7" t="str">
        <x:v>[]</x:v>
      </x:c>
      <x:c r="Q215" s="8" t="str">
        <x:v>yes</x:v>
      </x:c>
      <x:c r="R215" s="8" t="str">
        <x:v>yes</x:v>
      </x:c>
      <x:c r="S215" s="8" t="str">
        <x:v>yes</x:v>
      </x:c>
      <x:c r="T215" s="7" t="str">
        <x:v>Reviewed against title, duties, mapped skills and detection sources.</x:v>
      </x:c>
    </x:row>
    <x:row r="216">
      <x:c r="A216" s="5" t="str">
        <x:v>other_technical</x:v>
      </x:c>
      <x:c r="B216" s="5" t="str">
        <x:v>kuv6ilvbjg</x:v>
      </x:c>
      <x:c r="C216" s="7" t="str">
        <x:v>Systems &amp; Product Configuration Manager (M/F)</x:v>
      </x:c>
      <x:c r="D216" s="7" t="str">
        <x:v>RESPONSIBILITIES: As part of the development of our activities on high-criticality industrial projects, we are looking for a Systems &amp; Products Configuration Manager. You work on complex technological programs, interfacing with the project, system architecture, quality, validation and product business teams. Your role is to define, structure and maintain the technical configuration of the systems and their subsets, ensuring consistency between requirements, versions, developments and deliverables Responsibilities Configuration strategy and process • Define the project configuration management strategy, in conjunction with internal and/or customer stakeholders. • Contribute to the definition and improvement of configuration management methods and processes. Structuring the configuration in PLM • Establish the Product Breakdown Structure (PBS) of the products and/or the overall system. • Manage the creation and structuring of the configuration in the PLM tool. • Guarantee “as designed” configuration and traceability of validated changes. Management of changes and developments • Lead and manage Change Control Boards (CCB) (hardware, software, requirements). • Support product teams in impact analysis and implementation of developments. • Contribute to monitoring technical facts and configuration consistency between professions. Customer documentation and deliverables • Consolidate configuration deliverables (reference documentation, configuration states, differences between versions). • Maintain the tools and supports necessary to generate these deliverables. • Participate in the preparation and presentation of deliverables during the acceptance phases. PROFILE WANTED: Profile sought • Bac+5 training (engineering, systems, quality, industrial management or equivalent). • Experience in configuration management in an industrial environment / complex systems (expected level: confirmed, depending on product or system scope). • Good command of PLM tools (ideally Windchill PTC). • Very good level of Excel (macros/VBA appreciated). • Knowledge of requirements management and project/technical monitoring tools (DOORS, JIRA, Quality/technical facts, ERP type Dynamics AX). • Appetite for multidisciplinary technical environments: embedded systems, electronics, software, cybersecurity, mechanics, robotics. • Professional English (written/oral) appreciated depending on the project. • Ability to work in a team, autonomy, rigor, sense of cross-functional coordination. • The possibility of evolving on projects requiring Defense authorization is a plus.</x:v>
      </x:c>
      <x:c r="E216" s="5" t="str">
        <x:v>50000.0</x:v>
      </x:c>
      <x:c r="F216" s="5" t="str">
        <x:v>60f7eb23-a7ea-4cbe-98a5-1248291f62d5</x:v>
      </x:c>
      <x:c r="G216" s="7" t="str">
        <x:v>["authoring software", "communicate with stakeholders", "consumer electronics", "cyber security", "interact with users to gather requirements", "maintain inventory of tools", "maintain system layout for a production", "manage project changes", "patient autonomy", "project configuration management", "provide user documentation", "robotics", "system design", "write English"]</x:v>
      </x:c>
      <x:c r="H216" s="7" t="str">
        <x:v>["cyber security"]</x:v>
      </x:c>
      <x:c r="I216" s="7" t="str">
        <x:v>["communicate with stakeholders"]</x:v>
      </x:c>
      <x:c r="J216" s="7" t="str">
        <x:v>["cybersecurity"]</x:v>
      </x:c>
      <x:c r="K216" s="7" t="str">
        <x:v>[]</x:v>
      </x:c>
      <x:c r="L216" s="7" t="str">
        <x:v>["cybersecurity"]</x:v>
      </x:c>
      <x:c r="M216" s="7" t="str">
        <x:v>["cybersecurity"]</x:v>
      </x:c>
      <x:c r="N216" s="7" t="str">
        <x:v>["cybersecurity"]</x:v>
      </x:c>
      <x:c r="O216" s="7" t="str">
        <x:v>["esco", "description"]</x:v>
      </x:c>
      <x:c r="P216" s="7" t="str">
        <x:v>["communication"]</x:v>
      </x:c>
      <x:c r="Q216" s="8" t="str">
        <x:v>yes</x:v>
      </x:c>
      <x:c r="R216" s="8" t="str">
        <x:v>yes</x:v>
      </x:c>
      <x:c r="S216" s="8" t="str">
        <x:v>yes</x:v>
      </x:c>
      <x:c r="T216" s="7" t="str">
        <x:v>Reviewed against title, duties, mapped skills and detection sources.</x:v>
      </x:c>
    </x:row>
    <x:row r="217">
      <x:c r="A217" s="5" t="str">
        <x:v>other_technical</x:v>
      </x:c>
      <x:c r="B217" s="5" t="str">
        <x:v>seyos-06597</x:v>
      </x:c>
      <x:c r="C217" s="7" t="str">
        <x:v>Lead Helpdesk - H/F</x:v>
      </x:c>
      <x:c r="D217" s="7" t="str">
        <x:v>Description: We are recruiting for a FinTech specializing in omnichannel payment solutions. It supports merchants in optimizing their performance using transactional data. Context The company is creating a local Helpdesk branch in Nantes to support the 250/300 users and strengthen the infrastructure division. Your main missions Provide technical support and monitoring of the multi-site fleet. Manage deployments, onboarding and management of IT equipment. Participate in structuring processes and automation projects. - Animation / support small team (2 people). Technical environment: Linux (Ubuntu, Debian), Windows, MacOS, Active Directory, GLPI, Jira, Cisco, Google Workspace, ESET, OCS, NinjaOne Remuneration: 40,000 - 45,000 euros gross per year Location: Nantes Profile sought: Profile sought: - 5 years minimum experience in support/helpdesk, - Strong command of Linux, - Excellent interpersonal skills and diplomacy, - Ability to take responsibility and manage teams remotely.</x:v>
      </x:c>
      <x:c r="E217" s="5" t="str">
        <x:v>42500.0</x:v>
      </x:c>
      <x:c r="F217" s="5" t="str">
        <x:v>f2b15a0e-e65a-438a-affb-29b9d50b77d1</x:v>
      </x:c>
      <x:c r="G217" s="7" t="str">
        <x:v>["assume responsibility", "handle helpdesk problems", "manage troop deployment"]</x:v>
      </x:c>
      <x:c r="H217" s="7" t="str">
        <x:v>[]</x:v>
      </x:c>
      <x:c r="I217" s="7" t="str">
        <x:v>["assume responsibility"]</x:v>
      </x:c>
      <x:c r="J217" s="7" t="str">
        <x:v>[]</x:v>
      </x:c>
      <x:c r="K217" s="7" t="str">
        <x:v>["networks_systems"]</x:v>
      </x:c>
      <x:c r="L217" s="7" t="str">
        <x:v>["networks_systems"]</x:v>
      </x:c>
      <x:c r="M217" s="7" t="str">
        <x:v>["networks_systems"]</x:v>
      </x:c>
      <x:c r="N217" s="7" t="str">
        <x:v>["networks_systems"]</x:v>
      </x:c>
      <x:c r="O217" s="7" t="str">
        <x:v>["title", "description"]</x:v>
      </x:c>
      <x:c r="P217" s="7" t="str">
        <x:v>["initiative_responsibility"]</x:v>
      </x:c>
      <x:c r="Q217" s="8" t="str">
        <x:v>yes</x:v>
      </x:c>
      <x:c r="R217" s="8" t="str">
        <x:v>yes</x:v>
      </x:c>
      <x:c r="S217" s="8" t="str">
        <x:v>yes</x:v>
      </x:c>
      <x:c r="T217" s="7" t="str">
        <x:v>Reviewed against title, duties, mapped skills and detection sources.</x:v>
      </x:c>
    </x:row>
    <x:row r="218">
      <x:c r="A218" s="5" t="str">
        <x:v>other_technical</x:v>
      </x:c>
      <x:c r="B218" s="5" t="str">
        <x:v>2rz8ml3gva</x:v>
      </x:c>
      <x:c r="C218" s="7" t="str">
        <x:v>Infrastructure manager (M/F)</x:v>
      </x:c>
      <x:c r="D218" s="7" t="str">
        <x:v>RESPONSIBILITIES: Description of the service The SMIR service (Servers, Computer Hardware and Networks) is in charge of the studies, definition, implementation and maintenance in operational condition of the components of the IUT computer system. It also has a mission to help IUT staff and students in their use of these components. Its final mission is to promote choices of computer hardware and software and to ensure that their implementation contributes to building an integrated, reliable, coherent and global information system. The components of the IT system are servers, workstations, software, network hardware, videoconferencing rooms, computer rooms and their logistics. SMIR manages 5,300 students, 500 staff, 800 external speakers and 3,000 educational computer stations. Job description Main missions: The recruited person will be responsible for participating in the management of the IT equipment at IUT LYON1. She will join the Villeurbanne DOUA site team made up of 5 people and placed under the responsibility of a design engineer. She provided technical assistance to users of central services and 6 departments (IT, Civil Engineering, Biology, Chemistry, Chemical Engineering, Business and Administration Management). She will participate in the design of configuration masters and the deployment of educational rooms. She will participate in the management of the 27 servers running Windows and Linux (physical VM+), 2,500 users and 1,200 workstations. Special conditions of practice The position involves the handling of computer equipment and interventions that may require postural constraints (under desk, in technical bay, etc.) PROFILE WANTED: Main activities of the agent: • Administer and ensure the proper functioning of the computer equipment. • Participate in the management of physical servers and VM Windows, Linux). • Design masters for configuring teaching rooms. • Install, configure and secure workstations in accordance with the security policy. • Start the execution of operating tasks and monitor their progress. • Detect and diagnose system and network problems. • Provide user assistance: installation, configuration, troubleshooting and maintenance of equipment and software. • Receive and physically install: computer workstations, peripherals, TOIP. • Manage the purchase of hardware and software while respecting the recommendations of university markets. • Intervene with the cabling, particularly in the patch bays. • Raise users' awareness of compliance with the IT charter. • Maintain technical documentation up to date • Manage the stock of materials, licenses and fleet inventory. Position available from 01/05/2026 The position is open to category A contract workers (ASI) Gross monthly remuneration: €2,304.20 By joining the University of Lyon 1, you will be able to benefit from: • 48.5 days of annual leave, from the first academic year, possible arrangement of working time over 4.5 days, 37.5 hours / week, the possibility of having regular teleworking days and/or punctual, under conditions, • participation in the reimbursement of transport costs, sustainable mobility package, additional health costs up to €15/month, etc. • access to social action services, access to the services of the crèche and the leisure center located on the Lyon Tech La Doua campus • access to the university's artistic and sporting activities, preferential leisure rates, • possibilities for internal professional development (competitions, mobility, continuing education and career paths) • catering on the campus with financial participation from the university</x:v>
      </x:c>
      <x:c r="E218" s="5" t="str">
        <x:v>28200.0</x:v>
      </x:c>
      <x:c r="F218" s="5" t="str">
        <x:v>bea99fea-0383-4c63-b944-70d4799de2c5</x:v>
      </x:c>
      <x:c r="G218" s="7" t="str">
        <x:v>["authoring software", "business ICT systems", "civil engineering", "develop chemical products", "hardware architectures", "life sciences", "maintain computer hardware", "maintain electromechanical equipment", "mobility as a service"]</x:v>
      </x:c>
      <x:c r="H218" s="7" t="str">
        <x:v>["maintain computer hardware"]</x:v>
      </x:c>
      <x:c r="I218" s="7" t="str">
        <x:v>[]</x:v>
      </x:c>
      <x:c r="J218" s="7" t="str">
        <x:v>["networks_systems"]</x:v>
      </x:c>
      <x:c r="K218" s="7" t="str">
        <x:v>[]</x:v>
      </x:c>
      <x:c r="L218" s="7" t="str">
        <x:v>["networks_systems"]</x:v>
      </x:c>
      <x:c r="M218" s="7" t="str">
        <x:v>["networks_systems"]</x:v>
      </x:c>
      <x:c r="N218" s="7" t="str">
        <x:v>["networks_systems"]</x:v>
      </x:c>
      <x:c r="O218" s="7" t="str">
        <x:v>["esco", "description"]</x:v>
      </x:c>
      <x:c r="P218" s="7" t="str">
        <x:v>[]</x:v>
      </x:c>
      <x:c r="Q218" s="8" t="str">
        <x:v>yes</x:v>
      </x:c>
      <x:c r="R218" s="8" t="str">
        <x:v>yes</x:v>
      </x:c>
      <x:c r="S218" s="8" t="str">
        <x:v>yes</x:v>
      </x:c>
      <x:c r="T218" s="7" t="str">
        <x:v>Reviewed against title, duties, mapped skills and detection sources.</x:v>
      </x:c>
    </x:row>
    <x:row r="219">
      <x:c r="A219" s="5" t="str">
        <x:v>other_technical</x:v>
      </x:c>
      <x:c r="B219" s="5" t="str">
        <x:v>204KWLM</x:v>
      </x:c>
      <x:c r="C219" s="7" t="str">
        <x:v>IT Support Technician (M/F)</x:v>
      </x:c>
      <x:c r="D219" s="7" t="str">
        <x:v>Working at Lidl is worth it! It means joining a company that embodies the collective, respect, trust, proximity and performance. . With more than 46,000 employees and 26 logistics platforms, the fluidity of our digital tools is a strategic issue. To ensure the satisfaction of our users on a daily basis, we are looking for an IT Support Technician who will join our IT Support team to resolve incidents and provide technical advice. As an IT Support Technician, your main mission is to take charge of resolving IT incidents for the LIDL France head office and for our 26 logistics platforms. In order to achieve your strategic objectives, your daily missions are: - Take charge of technical and functional incidents on our users' applications and hardware, - Resolve incidents remotely or at our Headquarters in Strasbourg, Châtenay Malabry and our 26 Logistics Platforms, - Process service requests for the implementation of access, software and hardware (workstation equipment and mobile devices), - Physically prepare equipment on site, and collaborate with the remote service provider, - Be the preferred contact for IT suppliers in the context of orders and deliveries, - Receive and check the delivered goods, enter the information into internal tools. The position requires on-call work (teleworking) at the end of the training period. Beyond your professional experience, we are above all looking for a personality. - You have a very good sense of communication, both written and oral, and are you a teacher? - Are you recognized for your sense of customer service and your quality of treatment? - Are you curious and have good adaptability? - Are you organized and methodical? If you answered yes to these questions, then you are made to join #TeamLidl! To apply for a position as IT Support Technician, you will need: - Have a Bac +2/3 degree in IT support or equivalent training, - Have at least 2 years of professional experience in a Support department, with call taking and ticket processing, - Have a good technical level in the IT environment in the broad sense, - Master the Windows environment (mainly clients and servers for specific tasks), from Windows Server 2003 to 2022 and Windows 10 and Office 365, - Have knowledge of Active Directory and MECM, - Have a very good level of French both oral and written and have some knowledge of English, - Skills in developing Powershell scripts would be a plus. We recognize the work and investment of everyone by offering you: - A permanent position, with Supervisory Agent status within our IT department located at the Administrative Services Center based in Strasbourg (67), - An annual gross remuneration of €30,000 paid over 13 months + increases linked to on-call obligations, - A participation bonus and/or profit-sharing (depending on the company's results), co-optation bonus, mutual, CSE, Company Savings Plan and PERECO, a seniority bonus after 3 years and beyond, - A teleworking agreement up to 2 days per week depending on your missions, - Training in our professions and our processes and support for your integration, - Modern premises and a pleasant working environment (gym, garden, refectory), Joining Lidl also means joining a TOP Employer certified company since 2019! This Label rewards our HR policy, our commitments in terms of gender equality, diversity &amp; inclusion, but also the work of our teams in the field on a daily basis.</x:v>
      </x:c>
      <x:c r="E219" s="5" t="str">
        <x:v>30000.0</x:v>
      </x:c>
      <x:c r="F219" s="5" t="str">
        <x:v>aaeec9a7-dc57-4485-890c-86b3eef735f9</x:v>
      </x:c>
      <x:c r="G219" s="7" t="str">
        <x:v>["Microsoft Access", "authoring software", "check deliveries on receipt", "consult with technical staff", "creatively use digital technologies", "handle delivered packages", "hardware architectures", "promote inclusion", "software components suppliers", "use ICT ticketing system"]</x:v>
      </x:c>
      <x:c r="H219" s="7" t="str">
        <x:v>[]</x:v>
      </x:c>
      <x:c r="I219" s="7" t="str">
        <x:v>[]</x:v>
      </x:c>
      <x:c r="J219" s="7" t="str">
        <x:v>[]</x:v>
      </x:c>
      <x:c r="K219" s="7" t="str">
        <x:v>["networks_systems"]</x:v>
      </x:c>
      <x:c r="L219" s="7" t="str">
        <x:v>[]</x:v>
      </x:c>
      <x:c r="M219" s="7" t="str">
        <x:v>["networks_systems"]</x:v>
      </x:c>
      <x:c r="N219" s="7" t="str">
        <x:v>["networks_systems"]</x:v>
      </x:c>
      <x:c r="O219" s="7" t="str">
        <x:v>["title"]</x:v>
      </x:c>
      <x:c r="P219" s="7" t="str">
        <x:v>[]</x:v>
      </x:c>
      <x:c r="Q219" s="8" t="str">
        <x:v>yes</x:v>
      </x:c>
      <x:c r="R219" s="8" t="str">
        <x:v>yes</x:v>
      </x:c>
      <x:c r="S219" s="8" t="str">
        <x:v>yes</x:v>
      </x:c>
      <x:c r="T219" s="7" t="str">
        <x:v>Reviewed against title, duties, mapped skills and detection sources.</x:v>
      </x:c>
    </x:row>
    <x:row r="220">
      <x:c r="A220" s="5" t="str">
        <x:v>other_technical</x:v>
      </x:c>
      <x:c r="B220" s="5" t="str">
        <x:v>27622730</x:v>
      </x:c>
      <x:c r="C220" s="7" t="str">
        <x:v>IT Support Technician N1 - CDI - Caen M/F</x:v>
      </x:c>
      <x:c r="D220" s="7" t="str">
        <x:v>Great missions await you with our client in rich and challenging environments. Your missions, - Ensure the processing and monitoring of level 1 incidents on workstations - Ensure the processing of requests from users - Install and configure the various computer hardware (PC, screen, Smartphone, etc.) - Participate in the creation and updating of technical documentation You have? experience? as an IT support technician L1 You have? knowledge? in the Windows environment (7,8,10), Android, Active Directory, TCP/IP, TOIP on the GLPI Service Desk tools, You have a?great?state of mind?and are?ultra motivated.e...</x:v>
      </x:c>
      <x:c r="E220" s="5" t="str">
        <x:v>22000.0</x:v>
      </x:c>
      <x:c r="F220" s="5" t="str">
        <x:v>3e7bf729-4442-4b9f-ad5e-83111963795c</x:v>
      </x:c>
      <x:c r="G220" s="7" t="str">
        <x:v>["Android (mobile operating systems)", "hardware platforms"]</x:v>
      </x:c>
      <x:c r="H220" s="7" t="str">
        <x:v>[]</x:v>
      </x:c>
      <x:c r="I220" s="7" t="str">
        <x:v>[]</x:v>
      </x:c>
      <x:c r="J220" s="7" t="str">
        <x:v>[]</x:v>
      </x:c>
      <x:c r="K220" s="7" t="str">
        <x:v>["networks_systems"]</x:v>
      </x:c>
      <x:c r="L220" s="7" t="str">
        <x:v>[]</x:v>
      </x:c>
      <x:c r="M220" s="7" t="str">
        <x:v>["networks_systems"]</x:v>
      </x:c>
      <x:c r="N220" s="7" t="str">
        <x:v>["networks_systems"]</x:v>
      </x:c>
      <x:c r="O220" s="7" t="str">
        <x:v>["title"]</x:v>
      </x:c>
      <x:c r="P220" s="7" t="str">
        <x:v>[]</x:v>
      </x:c>
      <x:c r="Q220" s="8" t="str">
        <x:v>yes</x:v>
      </x:c>
      <x:c r="R220" s="8" t="str">
        <x:v>yes</x:v>
      </x:c>
      <x:c r="S220" s="8" t="str">
        <x:v>yes</x:v>
      </x:c>
      <x:c r="T220" s="7" t="str">
        <x:v>Reviewed against title, duties, mapped skills and detection sources.</x:v>
      </x:c>
    </x:row>
    <x:row r="221">
      <x:c r="A221" s="5" t="str">
        <x:v>other_technical</x:v>
      </x:c>
      <x:c r="B221" s="5" t="str">
        <x:v>202YCCV</x:v>
      </x:c>
      <x:c r="C221" s="7" t="str">
        <x:v>Computer maintenance technician (M/F)</x:v>
      </x:c>
      <x:c r="D221" s="7" t="str">
        <x:v>SOIPP is a human-sized IT services company, specializing in supporting VSEs and SMEs. We act as a local partner with our clients to ensure the stability, security and development of their IT system. Our strength is based on a simple conviction: the pleasure of working for our clients, with an approach based on quality of service, listening and responsiveness. As part of the development of our activity, we are recruiting a computer maintenance technician to strengthen our technical team. Main activities and responsibilities The technician will work with a clientele of VSEs and SMEs, on various IT environments. Its main missions will be in particular: Provide technical support to users, remotely and on site Install, configure and maintain workstations under Windows 10 and Windows 11 Participate in the administration and maintenance of Windows servers (2016 to 2025) Intervene in Active Directory environments (network shares, access rights, security) Manage Microsoft 365 services (Entra ID, Exchange, SharePoint) Deploy and operate RMM and cybersecurity, process alerts and associated incidents Install, configure and troubleshoot network infrastructures (UniFi, Mikrotik) Document interventions and incidents in internal tools Participate in the continuous improvement of internal services and practices Internal technical environment The position is part of a structured environment relying in particular on: GLPI for ticket and IT management RMM tools TeamViewer and tools dedicated to remote support Conditions of exercise and organization of work The functioning of the company is based on teamwork, proximity and responsiveness. As such, the position is carried out face-to-face and does not provide for teleworking. Travel to customers is required for certain installation, maintenance or troubleshooting interventions that cannot be carried out remotely. These trips are not daily, but punctual and planned, according to needs. Area of ​​intervention: departments 06, 13 and 83. Hourly conditions and working environment Daytime working hours, Monday to Friday Occasional adjustments possible depending on intervention constraints Position within a human-sized structure, promoting proximity, versatility and skills development Direct customer relationship, with a strong service and customer satisfaction orientation</x:v>
      </x:c>
      <x:c r="E221" s="5" t="str">
        <x:v>25200.0</x:v>
      </x:c>
      <x:c r="F221" s="5" t="str">
        <x:v>3e7bf729-4442-4b9f-ad5e-83111963795c</x:v>
      </x:c>
      <x:c r="G221" s="7" t="str">
        <x:v>["business ICT systems", "coordinate security", "cyber security", "manage maintenance operations", "provide high quality customer service", "satisfy customers"]</x:v>
      </x:c>
      <x:c r="H221" s="7" t="str">
        <x:v>["cyber security"]</x:v>
      </x:c>
      <x:c r="I221" s="7" t="str">
        <x:v>["provide high quality customer service", "satisfy customers"]</x:v>
      </x:c>
      <x:c r="J221" s="7" t="str">
        <x:v>["cybersecurity"]</x:v>
      </x:c>
      <x:c r="K221" s="7" t="str">
        <x:v>[]</x:v>
      </x:c>
      <x:c r="L221" s="7" t="str">
        <x:v>["cybersecurity"]</x:v>
      </x:c>
      <x:c r="M221" s="7" t="str">
        <x:v>["cybersecurity"]</x:v>
      </x:c>
      <x:c r="N221" s="7" t="str">
        <x:v>["cybersecurity"]</x:v>
      </x:c>
      <x:c r="O221" s="7" t="str">
        <x:v>["esco", "description"]</x:v>
      </x:c>
      <x:c r="P221" s="7" t="str">
        <x:v>["customer_interaction"]</x:v>
      </x:c>
      <x:c r="Q221" s="8" t="str">
        <x:v>yes</x:v>
      </x:c>
      <x:c r="R221" s="8" t="str">
        <x:v>no</x:v>
      </x:c>
      <x:c r="S221" s="8" t="str">
        <x:v>yes</x:v>
      </x:c>
      <x:c r="T221" s="7" t="str">
        <x:v>IT maintenance/support role: η κύρια κατηγορία είναι networks/systems, όχι μόνο cybersecurity.</x:v>
      </x:c>
    </x:row>
    <x:row r="222">
      <x:c r="A222" s="5" t="str">
        <x:v>other_technical</x:v>
      </x:c>
      <x:c r="B222" s="5" t="str">
        <x:v>203DNDR</x:v>
      </x:c>
      <x:c r="C222" s="7" t="str">
        <x:v>Business Developer Junior (H/F)</x:v>
      </x:c>
      <x:c r="D222" s="7" t="str">
        <x:v>Our client, a company specializing in the digital sector, has been recognized for over 25 years, particularly in securing online exchanges and transactions. Certification Authority, our client is a key player in dematerialization, digitalization and cybersecurity, guaranteeing digital trust to its customers, partners and suppliers. As part of a job creation, we are looking for a Junior Business Developer. The Business Developer is responsible for developing revenue and opening new markets for the company. He/She manages the entire sales cycle, from identifying opportunities to signing contracts, in close collaboration with the Sales Manager and internal teams. A true player in growth, the Business Developer is mainly involved in active prospecting (outbound), structuring the pipeline and leading commercial relationships with high potential, while respecting the company's commercial strategy. Main missions Prospecting and commercial development Identify and qualify prospects with high potential (companies, decision-makers, target sectors). Implement multi-channel prospecting: telephone, email, LinkedIn, events. Generate qualified sales appointments. Understand the needs of prospects and present the proposed solutions. Update commercial monitoring tools and pipeline. Participation in the sales cycle Participate in sales presentations and demonstrations. Contribute to the preparation of commercial proposals. Intervene gradually on simple opportunities, with support. Follow up with prospects until signature. Customer relations and internal coordination Ensure a first level of commercial relations with prospects. Work in coordination with internal teams (sales, onboarding, support). Guarantee the transmission of information necessary for production. Reporting and continuous improvement Carry out regular reporting of commercial activity. Analyze the results and propose areas for improvement. Participate in the evolution of commercial tools and methods. Representation Occasionally participate in trade shows or professional events. Contribute to the visibility and image of the company Minimum Bac +3 training (Commerce, Business Development, Management, Marketing or equivalent). Experience First experience in sales or BtoB business development appreciated (internship, work-study program included). Motivated beginner profiles are accepted. Skills Interest in commercial prospecting and business development. Good oral and written communication. Organizational capacity, rigor and sense of priorities. Appreciation for digital solutions and technical environments. Knowledge of IT solutions, dematerialization or digital security is a plus. Professional qualities Dynamism and perseverance. Spirit of conquest. Willingness to learn and progress. Progressive autonomy. Professionalism and team spirit. Characteristics of the contract: - Type of contract: Permanent contract - Remuneration: fixed over 13 months + variable based on objectives - Place of work: Lyon - Travel: mostly sedentary travel to be expected (notably during trade fairs) - Advantages: 2 CP offered, restaurant tickets (60% covered by the employer), collective transport and mutual insurance at 50%, 13th month bonus, vacation bonus and profit-sharing bonus depending on results. Development prospects Position evolving towards a confirmed Business Developer role, with expansion of responsibilities and evolution of remuneration based on performance and skills acquired.</x:v>
      </x:c>
      <x:c r="E222" s="5" t="str">
        <x:v>28500.0</x:v>
      </x:c>
      <x:c r="F222" s="5" t="str">
        <x:v>544cd9cf-e2ee-4ac0-8a02-7147af6b97d7</x:v>
      </x:c>
      <x:c r="G222" s="7" t="str">
        <x:v>["capacity building", "consider the impact of material characteristics on pipeline flows", "customer relationship management", "cyber security", "demonstrate willingness to learn", "develop business case", "develop revenue generation strategies", "digitization", "discern written communication", "handle financial transactions", "hardware components suppliers", "make decisions", "manage sales teams", "perform follow-up on pipeline route services", "plan presence at professional events", "solve technical problems", "write research proposals"]</x:v>
      </x:c>
      <x:c r="H222" s="7" t="str">
        <x:v>["cyber security"]</x:v>
      </x:c>
      <x:c r="I222" s="7" t="str">
        <x:v>["customer relationship management", "discern written communication", "make decisions", "solve technical problems"]</x:v>
      </x:c>
      <x:c r="J222" s="7" t="str">
        <x:v>["cybersecurity"]</x:v>
      </x:c>
      <x:c r="K222" s="7" t="str">
        <x:v>[]</x:v>
      </x:c>
      <x:c r="L222" s="7" t="str">
        <x:v>["cybersecurity"]</x:v>
      </x:c>
      <x:c r="M222" s="7" t="str">
        <x:v>["cybersecurity"]</x:v>
      </x:c>
      <x:c r="N222" s="7" t="str">
        <x:v>["cybersecurity"]</x:v>
      </x:c>
      <x:c r="O222" s="7" t="str">
        <x:v>["esco", "description"]</x:v>
      </x:c>
      <x:c r="P222" s="7" t="str">
        <x:v>["communication", "customer_interaction", "problem_solving"]</x:v>
      </x:c>
      <x:c r="Q222" s="8" t="str">
        <x:v>no</x:v>
      </x:c>
      <x:c r="R222" s="8" t="str">
        <x:v>no</x:v>
      </x:c>
      <x:c r="S222" s="8" t="str">
        <x:v>yes</x:v>
      </x:c>
      <x:c r="T222" s="7" t="str">
        <x:v>False positive: junior business-development position· η αναφορά security αφορά το εμπορικό πεδίο.</x:v>
      </x:c>
    </x:row>
    <x:row r="223">
      <x:c r="A223" s="5" t="str">
        <x:v>other_technical</x:v>
      </x:c>
      <x:c r="B223" s="5" t="str">
        <x:v>202MGPR</x:v>
      </x:c>
      <x:c r="C223" s="7" t="str">
        <x:v>Expert networks (H/F)</x:v>
      </x:c>
      <x:c r="D223" s="7" t="str">
        <x:v>We are currently looking for a Network Expert to strengthen our team and work on various client projects. You will provide your technical expertise on network infrastructure, cybersecurity and automation, and contribute to the modernization and reliability of our clients' IT environments. We are looking for someone who is passionate about network technologies, rigorous, proactive and capable of working in an international and collaborative context. Your main missions Administration and network support: - Ensure the design, deployment and maintenance of network infrastructures on site and in the cloud. - Manage and configure Cisco, Palo Alto, Fortigate, F5, Checkpoint equipment, as well as Cisco ASA Proxyweb and VPN solutions. - Participate in securing network environments and implementing good cybersecurity practices. Cloud and automation: - Contribute to the management and optimization of Azure environments. - Automate network processes and configurations to improve operational efficiency. - Collaborate with project teams to ensure technical consistency and alignment with company standards. Advice and expertise: - Participate in the design and framing phases of network and cybersecurity projects. - Provide technical recommendations and challenge architectural choices. - Write clear and structured documentation for the deployed solutions. Profile sought Expected skills and expertise: - Technical expertise on Cisco, Palo Alto, Fortigate, F5, Checkpoint, Proxyweb and Cisco ASA VPN solutions. - Experience in Azure Cloud and network configuration automation. - Knowledge of network and cybersecurity standards and best practices. - Ability to work collaboratively and lead technical workshops. - Very good level of English (written and oral) appreciated. Why join OSMOZIUM Since 2002, OSMOZIUM, a digital consulting and services company (ESN), has been supporting its clients in their digital transformation. We combine technological expertise and human values ​​to promote performance and innovation. Our approach is based on collective intelligence, with people at the heart of our projects. We provide our know-how (Infrastructures, End User, Data, Cloud, Automation.) to improve the operational performance of our clients' information systems. Respecting our commitments, the company's central value, is made possible thanks to the richness and complementarity of our talents. Additional information - Location: Mission in Niort (2 days on client site + 3 days teleworking) - Type of contract: Privileged permanent contract (possible opening to freelance profiles depending on their suitability for the mission)</x:v>
      </x:c>
      <x:c r="E223" s="5" t="str">
        <x:v>55000.0</x:v>
      </x:c>
      <x:c r="F223" s="5" t="str">
        <x:v>cf2b03cd-feb7-4f47-90f6-ff1ed6016d3d</x:v>
      </x:c>
      <x:c r="G223" s="7" t="str">
        <x:v>["advise client on technical possibilities", "automation technology", "collaborate with technical experts on artworks", "cyber security", "innovation processes", "provide user documentation", "proxy servers", "set up cybersecurity training programmes", "solution deployment"]</x:v>
      </x:c>
      <x:c r="H223" s="7" t="str">
        <x:v>["cyber security", "set up cybersecurity training programmes"]</x:v>
      </x:c>
      <x:c r="I223" s="7" t="str">
        <x:v>["collaborate with technical experts on artworks", "innovation processes"]</x:v>
      </x:c>
      <x:c r="J223" s="7" t="str">
        <x:v>["cybersecurity"]</x:v>
      </x:c>
      <x:c r="K223" s="7" t="str">
        <x:v>[]</x:v>
      </x:c>
      <x:c r="L223" s="7" t="str">
        <x:v>["cybersecurity"]</x:v>
      </x:c>
      <x:c r="M223" s="7" t="str">
        <x:v>["cybersecurity"]</x:v>
      </x:c>
      <x:c r="N223" s="7" t="str">
        <x:v>["cybersecurity"]</x:v>
      </x:c>
      <x:c r="O223" s="7" t="str">
        <x:v>["esco", "description"]</x:v>
      </x:c>
      <x:c r="P223" s="7" t="str">
        <x:v>["creativity", "teamwork"]</x:v>
      </x:c>
      <x:c r="Q223" s="8" t="str">
        <x:v>yes</x:v>
      </x:c>
      <x:c r="R223" s="8" t="str">
        <x:v>no</x:v>
      </x:c>
      <x:c r="S223" s="8" t="str">
        <x:v>yes</x:v>
      </x:c>
      <x:c r="T223" s="7" t="str">
        <x:v>Network expert: λείπει networks/systems από τη strict κατηγοριοποίηση.</x:v>
      </x:c>
    </x:row>
    <x:row r="224">
      <x:c r="A224" s="5" t="str">
        <x:v>other_technical</x:v>
      </x:c>
      <x:c r="B224" s="5" t="str">
        <x:v>8155713</x:v>
      </x:c>
      <x:c r="C224" s="7" t="str">
        <x:v>IT system engineer (M/F)</x:v>
      </x:c>
      <x:c r="D224" s="7" t="str">
        <x:v>Becoming a temporary worker at Start People means benefiting from numerous advantages: -A sponsorship bonus of €100 if you help one of your friends to be employed by Start People on a temporary, fixed-term or permanent basis -A profit-sharing bonus based on your hours worked -Training offers to help you improve your skills and progress in your career -A Social and Economic Committee which offers you numerous advantages for your family events, sporting activities, vacations, etc. -Support from the FASTT from the moment you 1st hour worked (housing, mobility, childcare, complementary health insurance, etc.) Our StartApp application makes your daily life as a temporary worker easier: your deposits, time records, certificates and other documents will be at your fingertips! About Start People Permanent contract, fixed-term contract or temporary contract, whatever the sector of activity, Start People supports you throughout your professional career. At Start People, we prioritize human relations and delegate 100,000 people each year. Our teams listen to your needs and are attentive to your constraints to offer you the most suitable mission with one of our 19,000 client companies. Thousands of job offers are online every day on our site startpeople.fr. POSITION: SAP TECHNICAL-FUNCTIONAL (M/F) Your missions In a context of evolution from an SAP ECC environment to SAP S/4HANA, you are involved in the deployment of development requests linked to the SAP OPTIMA scope. As such, you: Analyze business needs and propose appropriate solutions Collect and formalize development requests Write technical-functional specifications for the development team (located in India) Define and execute technical-functional tests Support key users during the testing phases Train users and facilitate the adoption of new features Ensure the consistency of solutions with the migration path to S/4HANA You play a key interface role between business teams and technical teams. PROFILE: TrainingNo specific degree requirements – skills and experience take precedence. Experience and skills Minimum 2 years of experience in an industrial environment (excluding work-study programs) Knowledge of WM/PP/SD modules appreciated Good understanding of logistics, production and sales processes Ability to write technical-functional specifications Mastery of technical English (written and oral) SAP certification would be a plus Soft skills Team spirit Autonomy Proactivity Leadership spirit Ability to interact with a variety of people Remuneration and benefits Hourly rate 13th month Transportation allowance Restaurant tickets Quarterly attendance bonus 10% end of mission compensation 10% paid vacation compensation As part of its Diversity policy, Start People studies all applications, including those from people with disabilities, on an equal basis. Are you interested in this mission? Get started and apply now! Our agency will get back to you by email or telephone, then you can speak with a recruitment manager so that they can validate the suitability of your profile. We will then welcome you to the agency to give you security tests and finalize your registration. Our agency will get back to you by e-mail or telephone, then you will be able to speak with a recruitment manager, so that they can validate the suitability of your profile. We will then welcome you to the agency to give you security tests and finalize your registration. This mission is offered to you at a global hourly rate ifm/cp of between €29,040.00/year and €44,770.00/year (the 10% ICCP and 10% IFM are included subject to being entitled to it in accordance with current legislation). You will also benefit from our CET which remunerates your savings at 6%!</x:v>
      </x:c>
      <x:c r="E224" s="5" t="str">
        <x:v>36905.0</x:v>
      </x:c>
      <x:c r="F224" s="5" t="str">
        <x:v>92bb3d8c-8a9f-4cd7-80ec-247bbf173004</x:v>
      </x:c>
      <x:c r="G224" s="7" t="str">
        <x:v>["babysitting", "business requirements techniques", "communicate by telephone", "complementary and alternative medicine", "coordinate technical teams in artistic productions", "define technical requirements", "identify training needs", "mobility as a service"]</x:v>
      </x:c>
      <x:c r="H224" s="7" t="str">
        <x:v>[]</x:v>
      </x:c>
      <x:c r="I224" s="7" t="str">
        <x:v>["communicate by telephone"]</x:v>
      </x:c>
      <x:c r="J224" s="7" t="str">
        <x:v>[]</x:v>
      </x:c>
      <x:c r="K224" s="7" t="str">
        <x:v>["networks_systems"]</x:v>
      </x:c>
      <x:c r="L224" s="7" t="str">
        <x:v>[]</x:v>
      </x:c>
      <x:c r="M224" s="7" t="str">
        <x:v>["networks_systems"]</x:v>
      </x:c>
      <x:c r="N224" s="7" t="str">
        <x:v>["networks_systems"]</x:v>
      </x:c>
      <x:c r="O224" s="7" t="str">
        <x:v>["title"]</x:v>
      </x:c>
      <x:c r="P224" s="7" t="str">
        <x:v>["communication"]</x:v>
      </x:c>
      <x:c r="Q224" s="8" t="str">
        <x:v>yes</x:v>
      </x:c>
      <x:c r="R224" s="8" t="str">
        <x:v>yes</x:v>
      </x:c>
      <x:c r="S224" s="8" t="str">
        <x:v>yes</x:v>
      </x:c>
      <x:c r="T224" s="7" t="str">
        <x:v>Reviewed against title, duties, mapped skills and detection sources.</x:v>
      </x:c>
    </x:row>
    <x:row r="225">
      <x:c r="A225" s="5" t="str">
        <x:v>other_technical</x:v>
      </x:c>
      <x:c r="B225" s="5" t="str">
        <x:v>202FBYL</x:v>
      </x:c>
      <x:c r="C225" s="7" t="str">
        <x:v>IT support technician (M/F)</x:v>
      </x:c>
      <x:c r="D225" s="7" t="str">
        <x:v>.Job description - Management of L1 and L2 incidents on workstations and office automation - Monitoring of incidents and assistance requests - Participation in fleet management: stock monitoring, renewal of the fleet and peripherals (PCs, laptops, mobiles, tablets) - Deployment of PCs on customer sites: installation and configuration of equipment (computers, laptops, printers) - Mastery of Windows technical skills workstation and associated services (AD, DNS, DHCP) Knowledge of Microsoft applications and services Ticket management tools (ITSM) Office equipment (Servers, PCs, Printers, Smartphones) Soft skills Sense of service Autonomy Excellent interpersonal skills OUR ADVANTAGES We encourage teleworking which can be set up as soon as you arrive We cover your restaurant tickets up to 60% Your local public transport subscriptions covered 100% by Experis (public bike rental services included) A financial contribution to your trips made by carpooling. A mileage allowance is paid to you for your professional journeys by bike. A 70% contribution from Experis for your rental of an electric bike. The benefit of the best care for our Talents through an advantageous family mutual insurance Gymlib, to integrate sports practice and well-being into your daily life and at a lower cost An active training service to support the development of your skills (Obtain a certification bonus of €100 with Experis Campus) Our CSE will offer you superb cultural offers, travel, shopping vouchers. To facilitate your search for accommodation and your installation, we provide you with personalized support. We are here to listen to you and provide you with a social worker, psychological assistance 24/7, and a doctor 24/7 via teleconsultation. Our co-optation program allows you to benefit from a bonus for anyone hired on a permanent contract thanks to you.</x:v>
      </x:c>
      <x:c r="E225" s="5" t="str">
        <x:v>33600.0</x:v>
      </x:c>
      <x:c r="F225" s="5" t="str">
        <x:v>aaeec9a7-dc57-4485-890c-86b3eef735f9</x:v>
      </x:c>
      <x:c r="G225" s="7" t="str">
        <x:v>["arrange student accommodation", "configure electronic equipment", "domain name service", "electric bicycles", "explain characteristics of computer peripheral equipment", "printing materials"]</x:v>
      </x:c>
      <x:c r="H225" s="7" t="str">
        <x:v>[]</x:v>
      </x:c>
      <x:c r="I225" s="7" t="str">
        <x:v>[]</x:v>
      </x:c>
      <x:c r="J225" s="7" t="str">
        <x:v>[]</x:v>
      </x:c>
      <x:c r="K225" s="7" t="str">
        <x:v>["networks_systems"]</x:v>
      </x:c>
      <x:c r="L225" s="7" t="str">
        <x:v>[]</x:v>
      </x:c>
      <x:c r="M225" s="7" t="str">
        <x:v>["networks_systems"]</x:v>
      </x:c>
      <x:c r="N225" s="7" t="str">
        <x:v>["networks_systems"]</x:v>
      </x:c>
      <x:c r="O225" s="7" t="str">
        <x:v>["title"]</x:v>
      </x:c>
      <x:c r="P225" s="7" t="str">
        <x:v>[]</x:v>
      </x:c>
      <x:c r="Q225" s="8" t="str">
        <x:v>yes</x:v>
      </x:c>
      <x:c r="R225" s="8" t="str">
        <x:v>yes</x:v>
      </x:c>
      <x:c r="S225" s="8" t="str">
        <x:v>yes</x:v>
      </x:c>
      <x:c r="T225" s="7" t="str">
        <x:v>Reviewed against title, duties, mapped skills and detection sources.</x:v>
      </x:c>
    </x:row>
    <x:row r="226">
      <x:c r="A226" s="5" t="str">
        <x:v>other_technical</x:v>
      </x:c>
      <x:c r="B226" s="5" t="str">
        <x:v>27921050</x:v>
      </x:c>
      <x:c r="C226" s="7" t="str">
        <x:v>IT Manager (M/F)</x:v>
      </x:c>
      <x:c r="D226" s="7" t="str">
        <x:v>Reporting directly to General Management, the IT Manager is responsible for the proper functioning, security and development of the information system. Key missions: - Manage and maintain the entire IT infrastructure (servers, workstations, networks, storage) - Administer Windows (majority) and Linux (open source, Debian) environments - Manage virtualization (physical servers and virtual machines) - Ensure management of backups, security and updates - Administer Active Directory, GPOs, user accounts and messaging - Provide local IT support (L1/N2) with users - Manage landline and mobile telephony, internet access and operator contracts - Supervise network equipment, Wi-Fi and video surveillance - Work in conjunction with external service providers (hosting, security, Linux) - Be a force for proposals on IT developments, cybersecurity and best practices - Ensure continuous technological and security monitoring You have proven experience (10 years minimum) on a versatile computer station, ideally in an SME environment. Solid command of Windows environments (servers, workstations, AD, GPO) Good knowledge of Linux (Debian) and security Comfortable with virtualization, backups and networks Ability to provide local user support Accustomed to working independently and collaborating with service providers Technical English required, German preferred. You are recognized for your rigor, your sense of service, your autonomy and your discretion, with a real ability to anticipate the IT needs of a human-sized structure.</x:v>
      </x:c>
      <x:c r="E226" s="5" t="str">
        <x:v>52500.0</x:v>
      </x:c>
      <x:c r="F226" s="5" t="str">
        <x:v>82f90e87-de92-4678-adae-61d3e5f7e1e4</x:v>
      </x:c>
      <x:c r="G226" s="7" t="str">
        <x:v>["coordinate security", "cyber security", "manage closed-circuit television system", "use computer telephony integration"]</x:v>
      </x:c>
      <x:c r="H226" s="7" t="str">
        <x:v>["cyber security"]</x:v>
      </x:c>
      <x:c r="I226" s="7" t="str">
        <x:v>[]</x:v>
      </x:c>
      <x:c r="J226" s="7" t="str">
        <x:v>["cybersecurity"]</x:v>
      </x:c>
      <x:c r="K226" s="7" t="str">
        <x:v>[]</x:v>
      </x:c>
      <x:c r="L226" s="7" t="str">
        <x:v>["cybersecurity", "networks_systems"]</x:v>
      </x:c>
      <x:c r="M226" s="7" t="str">
        <x:v>["cybersecurity", "networks_systems"]</x:v>
      </x:c>
      <x:c r="N226" s="7" t="str">
        <x:v>["cybersecurity"]</x:v>
      </x:c>
      <x:c r="O226" s="7" t="str">
        <x:v>["esco", "description"]</x:v>
      </x:c>
      <x:c r="P226" s="7" t="str">
        <x:v>[]</x:v>
      </x:c>
      <x:c r="Q226" s="8" t="str">
        <x:v>yes</x:v>
      </x:c>
      <x:c r="R226" s="8" t="str">
        <x:v>yes</x:v>
      </x:c>
      <x:c r="S226" s="8" t="str">
        <x:v>yes</x:v>
      </x:c>
      <x:c r="T226" s="7" t="str">
        <x:v>Reviewed against title, duties, mapped skills and detection sources.</x:v>
      </x:c>
    </x:row>
    <x:row r="227">
      <x:c r="A227" s="5" t="str">
        <x:v>other_technical</x:v>
      </x:c>
      <x:c r="B227" s="5" t="str">
        <x:v>27760458</x:v>
      </x:c>
      <x:c r="C227" s="7" t="str">
        <x:v>Confirmed DevOps (M/F)</x:v>
      </x:c>
      <x:c r="D227" s="7" t="str">
        <x:v>As part of its growth, our client is strengthening its technical team and is looking for a proven DevOps person to support the deployment and industrialization of its application environments. As a DevOps, you will work in modern and automated environments: - Design, set up and maintain CI/CD pipelines - Automate deployments and operating processes - Participate in the management and optimization of infrastructures - Ensure the availability, performance and security of environments - Collaborate closely with development teams - Participate in the continuous improvement of DevOps tools and practices The position is to be filled on a permanent basis in Lyon (69). You have 3 to 5 years of experience in a DevOps position or equivalent. You operate comfortably in Linux environments and have a good command of CI/CD tools. You have already worked on automation and infrastructure as code approaches, and are comfortable with at least one cloud environment such as AWS, Azure or GCP. Accustomed to collaborating with development teams, you demonstrate autonomy, rigor and good team spirit. Curious and proactive, you like to improve existing practices and contribute to reliable and efficient technical environments.</x:v>
      </x:c>
      <x:c r="E227" s="5" t="str">
        <x:v>52500.0</x:v>
      </x:c>
      <x:c r="F227" s="5" t="str">
        <x:v>f2b15a0e-e65a-438a-affb-29b9d50b77d1</x:v>
      </x:c>
      <x:c r="G227" s="7" t="str">
        <x:v>["DevOps", "communicate technicalities with clients", "improve business processes"]</x:v>
      </x:c>
      <x:c r="H227" s="7" t="str">
        <x:v>["DevOps"]</x:v>
      </x:c>
      <x:c r="I227" s="7" t="str">
        <x:v>["communicate technicalities with clients"]</x:v>
      </x:c>
      <x:c r="J227" s="7" t="str">
        <x:v>["cloud_devops"]</x:v>
      </x:c>
      <x:c r="K227" s="7" t="str">
        <x:v>["cloud_devops"]</x:v>
      </x:c>
      <x:c r="L227" s="7" t="str">
        <x:v>["cloud_devops", "networks_systems"]</x:v>
      </x:c>
      <x:c r="M227" s="7" t="str">
        <x:v>["cloud_devops", "networks_systems"]</x:v>
      </x:c>
      <x:c r="N227" s="7" t="str">
        <x:v>["cloud_devops"]</x:v>
      </x:c>
      <x:c r="O227" s="7" t="str">
        <x:v>["esco", "title", "description"]</x:v>
      </x:c>
      <x:c r="P227" s="7" t="str">
        <x:v>["communication"]</x:v>
      </x:c>
      <x:c r="Q227" s="8" t="str">
        <x:v>yes</x:v>
      </x:c>
      <x:c r="R227" s="8" t="str">
        <x:v>yes</x:v>
      </x:c>
      <x:c r="S227" s="8" t="str">
        <x:v>yes</x:v>
      </x:c>
      <x:c r="T227" s="7" t="str">
        <x:v>Reviewed against title, duties, mapped skills and detection sources.</x:v>
      </x:c>
    </x:row>
    <x:row r="228">
      <x:c r="A228" s="5" t="str">
        <x:v>other_technical</x:v>
      </x:c>
      <x:c r="B228" s="5" t="str">
        <x:v>2026-162435_1771604842</x:v>
      </x:c>
      <x:c r="C228" s="7" t="str">
        <x:v>Electrical Network Engineer F/M (M/F)</x:v>
      </x:c>
      <x:c r="D228" s="7" t="str">
        <x:v>As part of the development of our activities and the continuous improvement of our processes, we are looking for an Electrical Network Engineer. Located in Noisy-Le-Grand, a stone's throw from the RER A, the MOAD Réseau agency is made up of around twenty people divided into three teams: MOAD HTA, AREMA HTA and SCORE. Its role is to contribute to the evolution of the HTA network to welcome new Customers and guarantee good quality of supply by making economically optimal technical investment decisions, while respecting Enedis' requirements. As an Electrical Network Engineer within the SCORE (Electrical Network Orientation Scheme) team, your main missions are as follows: Carry out studies of high-power MV connection to the mesh of MV/MV substations of the Regional Directorate and define technical solutions in compliance with the technical requirements in force; Design 30-year master plans for the Regional Directorate's electricity network, taking into account economic development, electrical constraints, and the need for network resilience to climate change, in a context of electrification of uses; Carry out technical-economic decision-making studies by implementing technical diagnostics, performance analyzes and proposing solutions aimed at improving network performance; Contribute to annual calculations of reference powers with the aim of updating the loads drawn by the distribution network. This calculation is the key to the planning system for MV/LV distribution networks, HTB transport and their structural sizing. Thanks to this first experience, you will be able to seize great opportunities (team management, expertise, project management) within the Company and the Group. €38.2K to €46.5K minimum annual gross. Beyond your fixed remuneration, Enedis is keen to encourage you on your results and your well-being at work: bonus on individual results, day package of 202 days worked/year and associated availability bonus, teleworking (10 days max/month), access to a Time Savings Account, social protection package, reduced rates on your energy consumption, profit-sharing and matching on Savings Plans, bonuses and special leave to support family events. Housing assistance may be offered to you under conditions. Holder of a Bac+5 diploma in general engineering or specialized in electrical engineering. You are a beginner or have first experience. You have an appetite for finding solutions and you have good interpersonal and writing skills. With an enterprising mindset, you also demonstrate autonomy and perseverance, a great sense of organization and responsibility. You are looking to integrate technical, economic and managerial dimensions into your activity. You are sensitive to respecting prevention/safety rules and able to share them. While being subject to the principle of religious and political neutrality, Enedis opens its positions to all skills, all energies and all personalities without exclusion. In accordance with the commitments made by Enedis in favor of welcoming and integrating people with disabilities, this job is open to everyone subject to medical fitness issued by occupational medicine. Make sure you have the diploma corresponding to the offer to apply.</x:v>
      </x:c>
      <x:c r="E228" s="5" t="str">
        <x:v>42750.0</x:v>
      </x:c>
      <x:c r="F228" s="5" t="str">
        <x:v>d7d986e1-7333-431b-9719-0c5c6939e360</x:v>
      </x:c>
      <x:c r="G228" s="7" t="str">
        <x:v>["assume responsibility", "continuous improvement philosophies", "monitor developments in field of expertise", "satisfy technical requirements", "support employability of people with disabilities", "teach writing"]</x:v>
      </x:c>
      <x:c r="H228" s="7" t="str">
        <x:v>[]</x:v>
      </x:c>
      <x:c r="I228" s="7" t="str">
        <x:v>["assume responsibility"]</x:v>
      </x:c>
      <x:c r="J228" s="7" t="str">
        <x:v>[]</x:v>
      </x:c>
      <x:c r="K228" s="7" t="str">
        <x:v>["networks_systems"]</x:v>
      </x:c>
      <x:c r="L228" s="7" t="str">
        <x:v>[]</x:v>
      </x:c>
      <x:c r="M228" s="7" t="str">
        <x:v>["networks_systems"]</x:v>
      </x:c>
      <x:c r="N228" s="7" t="str">
        <x:v>["networks_systems"]</x:v>
      </x:c>
      <x:c r="O228" s="7" t="str">
        <x:v>["title"]</x:v>
      </x:c>
      <x:c r="P228" s="7" t="str">
        <x:v>["initiative_responsibility"]</x:v>
      </x:c>
      <x:c r="Q228" s="8" t="str">
        <x:v>no</x:v>
      </x:c>
      <x:c r="R228" s="8" t="str">
        <x:v>no</x:v>
      </x:c>
      <x:c r="S228" s="8" t="str">
        <x:v>yes</x:v>
      </x:c>
      <x:c r="T228" s="7" t="str">
        <x:v>False positive: electrical power-network engineer, όχι ICT networks/systems.</x:v>
      </x:c>
    </x:row>
    <x:row r="229">
      <x:c r="A229" s="5" t="str">
        <x:v>other_technical</x:v>
      </x:c>
      <x:c r="B229" s="5" t="str">
        <x:v>lp72ese811</x:v>
      </x:c>
      <x:c r="C229" s="7" t="str">
        <x:v>Expert observabilité – Assurance (H /F) (H/F)</x:v>
      </x:c>
      <x:c r="D229" s="7" t="str">
        <x:v>RESPONSIBILITIES: Are you looking for a stimulating mission, where your work has meaning and your ideas count? Good news: you have just found the right ad! IS consulting firm, SEA TPI is looking for an observability expert to support the digital transformation of a major player in the insurance sector. As part of the modernization of its information system, a major player in the insurance sector is carrying out digital transformation projects with high implications for availability, performance and quality of service, in a regulated environment. The mission falls within Dev, Ops and SRE teams, with the objective of structuring and strengthening the IS observability strategy in order to anticipate incidents and improve the reliability of business applications. Main responsibilities: - Define and deploy an end-to-end observability strategy - Implement observability use cases for the Dev and Ops teams - Instrument applications via OpenTelemetry (metrics, logs, traces) - Use Dynatrace and Grafana tools - Define and monitor SLI / SLO in line with business requirements - Implement user experience-oriented indicators - Design clear and actionable dashboards - Integrate quality gates into CI/CD pipelines - Contribute to the anticipation of incidents and the detection of anomalies - Implement automation and remediation mechanisms - Support teams in the adoption of good observability practices All in a collaborative, stimulating and exchange-rich environment! Mission based at the gates of Montpellier. Partial teleworking possible. The missions listed above are not exhaustive, they are the main missions. PROFILE WANTED: Do you want to join a firm close to its colleagues and take on this first challenge alongside us? - Confirmed experience (5 years minimum) in observability, monitoring, SRE or DevOps, in critical environments with high availability - Accustomed to large account contexts and regulated sectors (ideally insurance or finance) - Mastery of observability tools: Dynatrace (APM, monitoring, alerting), OpenTelemetry, Grafana - Solid understanding of observability concepts: metrics, logs, traces, SLI / SLO / SLA - Experience of CI/CD chains (GitLab CI, Jenkins, Azure DevOps) - Practice of cloud and containerized environments (Kubernetes, Docker) - Knowledge of microservices architectures - DevOps / SRE culture Did I just describe you? So this adventure is yours! Don't wait any longer and apply... The SEA TPI team will be delighted to meet you and tell you more about this great opportunity Our advantages: • Restaurant voucher: €8 (50% employer share) • Company mutual insurance (50% covered) • Participation and incentive bonus • Holiday bonus • Gift voucher for CHRISTMAS Recruitment process: Telephone interview Interview with the manager + Technical test depending on the positions Interview with the client (if mission to one of our clients) SEA TPI is committed to promoting equal opportunities for all in employment, without discrimination.</x:v>
      </x:c>
      <x:c r="E229" s="5" t="str">
        <x:v>56000.0</x:v>
      </x:c>
      <x:c r="F229" s="5" t="str">
        <x:v>b1c80369-067e-4041-84c8-dbe65640a5d8</x:v>
      </x:c>
      <x:c r="G229" s="7" t="str">
        <x:v>["DevOps", "Jenkins (tools for software configuration management)", "assess quality of services"]</x:v>
      </x:c>
      <x:c r="H229" s="7" t="str">
        <x:v>["DevOps", "Jenkins (tools for software configuration management)"]</x:v>
      </x:c>
      <x:c r="I229" s="7" t="str">
        <x:v>[]</x:v>
      </x:c>
      <x:c r="J229" s="7" t="str">
        <x:v>["cloud_devops"]</x:v>
      </x:c>
      <x:c r="K229" s="7" t="str">
        <x:v>[]</x:v>
      </x:c>
      <x:c r="L229" s="7" t="str">
        <x:v>["software", "cloud_devops"]</x:v>
      </x:c>
      <x:c r="M229" s="7" t="str">
        <x:v>["cloud_devops", "software"]</x:v>
      </x:c>
      <x:c r="N229" s="7" t="str">
        <x:v>["cloud_devops"]</x:v>
      </x:c>
      <x:c r="O229" s="7" t="str">
        <x:v>["esco", "description"]</x:v>
      </x:c>
      <x:c r="P229" s="7" t="str">
        <x:v>[]</x:v>
      </x:c>
      <x:c r="Q229" s="8" t="str">
        <x:v>yes</x:v>
      </x:c>
      <x:c r="R229" s="8" t="str">
        <x:v>yes</x:v>
      </x:c>
      <x:c r="S229" s="8" t="str">
        <x:v>yes</x:v>
      </x:c>
      <x:c r="T229" s="7" t="str">
        <x:v>Reviewed against title, duties, mapped skills and detection sources.</x:v>
      </x:c>
    </x:row>
    <x:row r="230">
      <x:c r="A230" s="5" t="str">
        <x:v>other_technical</x:v>
      </x:c>
      <x:c r="B230" s="5" t="str">
        <x:v>203QKBZ</x:v>
      </x:c>
      <x:c r="C230" s="7" t="str">
        <x:v>Lead Tech DevOps (H/F)</x:v>
      </x:c>
      <x:c r="D230" s="7" t="str">
        <x:v>As part of the deployment of a unified Information System between central structure and national local entities, PRESTANOVA is looking for a DevOps Tech Lead (M/F/X) for its client located in Paris La Défense as part of a 6-month renewable mission. The program aims for a robust, secure and industrialized solution, designed for both build and run, in a multi-stakeholder and multi-supplier environment. As a Tech DevOps/Platform Lead, you are responsible for the design, industrialization and operation of the technical platform. You define and operate the environments, deployment pipelines and mechanisms necessary for reliable and secure operation. You work in close collaboration with the application Tech Leads, the Delivery Manager and the production teams. MISSIONS: - Design and operate the CI/CD chain and automated deployment mechanisms. - Set up and govern environments (dev, pre-production, production), including ephemeral environments by PR. - Industrialize containerization and orchestration of services. - Define and operate backup, restoration and PRA/PCA systems, with convincing restoration tests. - Set up platform observability (logs, metrics, alerts) and operating runbooks. - Integrate a pragmatic platform security approach: secrets, access, hardening, audits. - Contribute to controlling infrastructure costs and the overall reliability of the platform. - Document, equip and ensure the transfer of skills for sustainable operations. Environment - CRM type products / business portals - API-oriented back-end, relational database - Angular front-end - CI/CD, DevOps practices - Work in a multi-actor environment PROFILE WANTED: You have at least 8 years of experience in DevOps / platform / operation of complex application environments. EXPECTED SKILLS: - Solid experience in CI/CD industrialization and containerization. - Mastery of an orchestrator and good operating practices. - Strong sense of reliability, security and maintainability. - Ability to structure, document and transmit in a build + run logic.</x:v>
      </x:c>
      <x:c r="E230" s="5" t="str">
        <x:v>87500.0</x:v>
      </x:c>
      <x:c r="F230" s="5" t="str">
        <x:v>92bb3d8c-8a9f-4cd7-80ec-247bbf173004</x:v>
      </x:c>
      <x:c r="G230" s="7" t="str">
        <x:v>["DevOps", "conduct financial audits", "coordinate security", "hire post-production team", "maintain relationship with suppliers", "perform follow-up on pipeline route services", "pose questions referring to documents", "solution deployment", "work with pre-production team"]</x:v>
      </x:c>
      <x:c r="H230" s="7" t="str">
        <x:v>["DevOps"]</x:v>
      </x:c>
      <x:c r="I230" s="7" t="str">
        <x:v>[]</x:v>
      </x:c>
      <x:c r="J230" s="7" t="str">
        <x:v>["cloud_devops"]</x:v>
      </x:c>
      <x:c r="K230" s="7" t="str">
        <x:v>["cloud_devops"]</x:v>
      </x:c>
      <x:c r="L230" s="7" t="str">
        <x:v>["software", "cloud_devops"]</x:v>
      </x:c>
      <x:c r="M230" s="7" t="str">
        <x:v>["cloud_devops", "software"]</x:v>
      </x:c>
      <x:c r="N230" s="7" t="str">
        <x:v>["cloud_devops"]</x:v>
      </x:c>
      <x:c r="O230" s="7" t="str">
        <x:v>["esco", "title", "description"]</x:v>
      </x:c>
      <x:c r="P230" s="7" t="str">
        <x:v>[]</x:v>
      </x:c>
      <x:c r="Q230" s="8" t="str">
        <x:v>yes</x:v>
      </x:c>
      <x:c r="R230" s="8" t="str">
        <x:v>yes</x:v>
      </x:c>
      <x:c r="S230" s="8" t="str">
        <x:v>yes</x:v>
      </x:c>
      <x:c r="T230" s="7" t="str">
        <x:v>Reviewed against title, duties, mapped skills and detection sources.</x:v>
      </x:c>
    </x:row>
    <x:row r="231">
      <x:c r="A231" s="5" t="str">
        <x:v>other_technical</x:v>
      </x:c>
      <x:c r="B231" s="5" t="str">
        <x:v>27685064</x:v>
      </x:c>
      <x:c r="C231" s="7" t="str">
        <x:v>Assistant to the IT Security Manager (M/F)</x:v>
      </x:c>
      <x:c r="D231" s="7" t="str">
        <x:v>At the heart of Orange Business France, the Digital Services entity offers services around digital, data, AI and the cloud. This entity brings together nearly 4,500 employees spread across France. We are looking for an Assistant to the CISO to strengthen governance within the entity, contribute to the application of the group's security policies and support project teams in the implementation of security and regulatory requirements, for our Clients (internal and external). Within the Digital Services Security division, and reporting to the Digital Services CISO in the Delivery, Performance &amp; Operations Department, your missions, in responsibility or contribution: You will be an essential contact for Cybersecurity and information security issues (on governance, run and project aspects) within the entity You will monitor the raising of doubts and security incidents on the entity; You participate in the contextualization of incident/problem/change security topics; You will monitor alerts and vulnerabilities; You will contribute to reporting and feeding KPIs to the management committees; You will be a source of suggestions in improving processes and procedures in the Security &amp; Regulatory area, as part of our Quality approach. You will also interface with other entities of the Orange group on specific subjects (IA, Legal, Security, Compliance, Policies, HR, etc.) You will ideally provide expertise on the subjects of Business Continuity and crisis management The Security division is in charge of the following missions: - Security assurance activities with client projects (AVV, BUILD, and RUN), - GDPR, regulatory and security compliance analyzes of projects/services/solutions, - Customer CISO services (time-shared), - Coordination and management of security incidents, - Contribution to governance (and audits) on Digital Services certifications: 27001, HDS, PCI DSS and SecNumCloud qualification - Raising employee awareness, - Taking charge of projects that fall under the II901 and/or IGI1300 regulations. Bac+4 / Bac+5 training with a specialty in CyberSecurity, you have experience of at least 5 years in a similar position, with good knowledge of how an IS works. You have good interpersonal and communication skills, you are proactive, you demonstrate a spirit of analysis, synthesis and responsiveness. You must have a good knowledge of 27001, know how to carry out risk analyzes (EBIOS RM 2018) and know the regulatory requirements of the GDPR: these prerequisites must be validated by associated certifications or significant experience. Knowledge of the IGI1300 and II901 will be a plus. The holder could be subject to authorization. Position located in Nantes or Rennes with travel to be expected mainly in Rennes, Nantes or Paris (Teleworking possible up to 2 days/week).</x:v>
      </x:c>
      <x:c r="E231" s="5" t="str">
        <x:v>40000.0</x:v>
      </x:c>
      <x:c r="F231" s="5" t="str">
        <x:v>7754d570-9519-48c2-b1c9-8e165f8bca0f</x:v>
      </x:c>
      <x:c r="G231" s="7" t="str">
        <x:v>["company policies", "coordinate security", "cyber security", "digital systems", "ensure compliance with policies", "improve business processes", "make data-driven decisions", "manage the security team", "monitor the conformance to the project methodology", "set up cybersecurity training programmes"]</x:v>
      </x:c>
      <x:c r="H231" s="7" t="str">
        <x:v>["cyber security", "set up cybersecurity training programmes"]</x:v>
      </x:c>
      <x:c r="I231" s="7" t="str">
        <x:v>[]</x:v>
      </x:c>
      <x:c r="J231" s="7" t="str">
        <x:v>["cybersecurity"]</x:v>
      </x:c>
      <x:c r="K231" s="7" t="str">
        <x:v>[]</x:v>
      </x:c>
      <x:c r="L231" s="7" t="str">
        <x:v>["cybersecurity"]</x:v>
      </x:c>
      <x:c r="M231" s="7" t="str">
        <x:v>["cybersecurity"]</x:v>
      </x:c>
      <x:c r="N231" s="7" t="str">
        <x:v>["cybersecurity"]</x:v>
      </x:c>
      <x:c r="O231" s="7" t="str">
        <x:v>["esco", "description"]</x:v>
      </x:c>
      <x:c r="P231" s="7" t="str">
        <x:v>[]</x:v>
      </x:c>
      <x:c r="Q231" s="8" t="str">
        <x:v>yes</x:v>
      </x:c>
      <x:c r="R231" s="8" t="str">
        <x:v>yes</x:v>
      </x:c>
      <x:c r="S231" s="8" t="str">
        <x:v>yes</x:v>
      </x:c>
      <x:c r="T231" s="7" t="str">
        <x:v>Reviewed against title, duties, mapped skills and detection sources.</x:v>
      </x:c>
    </x:row>
    <x:row r="232">
      <x:c r="A232" s="5" t="str">
        <x:v>other_technical</x:v>
      </x:c>
      <x:c r="B232" s="5" t="str">
        <x:v>sorp2rsoe7</x:v>
      </x:c>
      <x:c r="C232" s="7" t="str">
        <x:v>Network Engineer M/F</x:v>
      </x:c>
      <x:c r="D232" s="7" t="str">
        <x:v>RESPONSIBILITIES: Under the responsibility of the Site Manager, you mainly work outdoors on: • Create, extend and reinforce overhead or underground lines. • Ensure maintenance and troubleshooting of public distribution lines. • Creation and maintenance of public lighting. • Make connections on and off. • Work at height and on live LV networks. • Operate, as required, boom type construction equipment. Remuneration: from €1,850 per month. Contract: Temporary for a period of one month PROFILE WANTED: We are looking for a M/F Network Engineer with proven experience in a similar position. You hold a CAP/BEP in Electricity or Electrotechnics and you are proficient in working on public lighting and electrical distribution networks. You have the minimum B1V authorization, the CACES nacelle 1B as well as the B license. You know the safety rules and respect the procedures put in place for the use of equipment and machines. We imagine you to be rigorous, organized, with a keen sense of observation and analysis. You like working alone or in a team and you are autonomous in carrying out your missions. Do you recognize yourself in this ad? Don't wait any longer, apply and let's discuss it in person</x:v>
      </x:c>
      <x:c r="E232" s="5" t="str">
        <x:v>27000.0</x:v>
      </x:c>
      <x:c r="F232" s="5" t="str">
        <x:v>c89afd9a-7dad-4bae-9315-5fcadd9ad8b6</x:v>
      </x:c>
      <x:c r="G232" s="7" t="str">
        <x:v>["maintain lighting equipment", "manage maintenance operations", "use of special equipment for daily activities"]</x:v>
      </x:c>
      <x:c r="H232" s="7" t="str">
        <x:v>[]</x:v>
      </x:c>
      <x:c r="I232" s="7" t="str">
        <x:v>[]</x:v>
      </x:c>
      <x:c r="J232" s="7" t="str">
        <x:v>[]</x:v>
      </x:c>
      <x:c r="K232" s="7" t="str">
        <x:v>["networks_systems"]</x:v>
      </x:c>
      <x:c r="L232" s="7" t="str">
        <x:v>[]</x:v>
      </x:c>
      <x:c r="M232" s="7" t="str">
        <x:v>["networks_systems"]</x:v>
      </x:c>
      <x:c r="N232" s="7" t="str">
        <x:v>["networks_systems"]</x:v>
      </x:c>
      <x:c r="O232" s="7" t="str">
        <x:v>["title"]</x:v>
      </x:c>
      <x:c r="P232" s="7" t="str">
        <x:v>[]</x:v>
      </x:c>
      <x:c r="Q232" s="8" t="str">
        <x:v>yes</x:v>
      </x:c>
      <x:c r="R232" s="8" t="str">
        <x:v>yes</x:v>
      </x:c>
      <x:c r="S232" s="8" t="str">
        <x:v>yes</x:v>
      </x:c>
      <x:c r="T232" s="7" t="str">
        <x:v>Reviewed against title, duties, mapped skills and detection sources.</x:v>
      </x:c>
    </x:row>
    <x:row r="233">
      <x:c r="A233" s="5" t="str">
        <x:v>other_technical</x:v>
      </x:c>
      <x:c r="B233" s="5" t="str">
        <x:v>203RRMC</x:v>
      </x:c>
      <x:c r="C233" s="7" t="str">
        <x:v>Deputy Information Systems Manager (M/F)</x:v>
      </x:c>
      <x:c r="D233" s="7" t="str">
        <x:v>Our Adéquat Fos-sur-Mer agency is recruiting an Assistant Information Systems Manager F/M for a permanent position located in Châteauneuf-les-Martigues for a client specializing in industry. Your future missions: * Manage the information system on a daily basis and guarantee infrastructure performance * Supervise the IT team, organize priorities and support skills development * Manage incidents and coordinate corrective actions * Implement procedures and performance indicators * Contribute to the cybersecurity policy (backups, PRA/PCA, MFA) and ensure GDPR compliance * Manage strategic projects: ERP evolution, digitalization of processes, network improvement * Collaborate with teams internal and external service providers The Suitable Profile: * Proven experience (minimum 5 years) in information systems and IT team management * Strong skills in systems and network administration, cybersecurity, project management and ERP * Higher education Bac+3 to Bac+5 in computer science or information systems * Sense of organization, ability to structure and professionalize the IS service * Mastery of Windows environments, Linux, virtualization, SQL databases, multi-site infrastructure Remuneration : 50-60K€ gross annual If you like this mission, send us your application. One of our recruiters will get back to you. No crush? Find all of our offers on our site and find your future job. For more information, you can contact us at the agency and we will be happy to answer your questions.</x:v>
      </x:c>
      <x:c r="E233" s="5" t="str">
        <x:v>40000.0</x:v>
      </x:c>
      <x:c r="F233" s="5" t="str">
        <x:v>b1c80369-067e-4041-84c8-dbe65640a5d8</x:v>
      </x:c>
      <x:c r="G233" s="7" t="str">
        <x:v>["cyber security", "database", "digitization", "manage ICT virtualisation environments", "perform project management"]</x:v>
      </x:c>
      <x:c r="H233" s="7" t="str">
        <x:v>["cyber security", "database"]</x:v>
      </x:c>
      <x:c r="I233" s="7" t="str">
        <x:v>[]</x:v>
      </x:c>
      <x:c r="J233" s="7" t="str">
        <x:v>["cybersecurity", "data_engineering"]</x:v>
      </x:c>
      <x:c r="K233" s="7" t="str">
        <x:v>[]</x:v>
      </x:c>
      <x:c r="L233" s="7" t="str">
        <x:v>["cybersecurity", "networks_systems"]</x:v>
      </x:c>
      <x:c r="M233" s="7" t="str">
        <x:v>["cybersecurity", "data_engineering", "networks_systems"]</x:v>
      </x:c>
      <x:c r="N233" s="7" t="str">
        <x:v>["cybersecurity"]</x:v>
      </x:c>
      <x:c r="O233" s="7" t="str">
        <x:v>["esco", "description"]</x:v>
      </x:c>
      <x:c r="P233" s="7" t="str">
        <x:v>[]</x:v>
      </x:c>
      <x:c r="Q233" s="8" t="str">
        <x:v>yes</x:v>
      </x:c>
      <x:c r="R233" s="8" t="str">
        <x:v>yes</x:v>
      </x:c>
      <x:c r="S233" s="8" t="str">
        <x:v>yes</x:v>
      </x:c>
      <x:c r="T233" s="7" t="str">
        <x:v>Reviewed against title, duties, mapped skills and detection sources.</x:v>
      </x:c>
    </x:row>
    <x:row r="234">
      <x:c r="A234" s="5" t="str">
        <x:v>other_technical</x:v>
      </x:c>
      <x:c r="B234" s="5" t="str">
        <x:v>workandyou-14965</x:v>
      </x:c>
      <x:c r="C234" s="7" t="str">
        <x:v>Systems and Networks Manager M/F</x:v>
      </x:c>
      <x:c r="D234" s="7" t="str">
        <x:v>The role's missions: #çamatchentrenous A strategic role at the heart of digital transformation Large-scale projects (Azure Migration, Cybersecurity, SDWAN) A leading SME in the growing Telecoms market "A value-added distributor recognized nationally for its expertise, our client is now recruiting its future IT Infrastructure Manager to manage the structuring projects of its IT department" 🏻 Your potential will allow you to: - Steer the IT strategy global and guarantee the maintenance in operational condition of our multi-site infrastructures. - Orchestrate the migration to the Cloud (Azure) and strengthen the cybersecurity policy. - Manage, unite and improve the skills of your technical team with teaching methods. - Analyze business needs to propose innovative and efficient architectural solutions. Profile sought: Your desire to join them: Your talent as well as your personality will be the ingredients of your success: leadership, rigor, sense of service and analytical mind. Engineer trained with solid managerial experience, you have mastery of Windows/Linux environments, virtualization (VMware/Hyper-V) and the Azure Cloud. Your expertise also covers networks (MPLS/SDWAN, Security/Firewall), monitoring (Zabbix) as well as modern technologies (Docker/Kubernetes, SQL). Technical English is required. Advantages: Depending on your experience and your profile, your overall gross annual compensation will be between €60 and €70k.</x:v>
      </x:c>
      <x:c r="E234" s="5" t="str">
        <x:v>65000.0</x:v>
      </x:c>
      <x:c r="F234" s="5" t="str">
        <x:v>81480b40-a318-47f3-9b2c-56b69ed67d95</x:v>
      </x:c>
      <x:c r="G234" s="7" t="str">
        <x:v>["business analysis", "cyber security", "define firewall rules", "maintain construction structures", "think analytically"]</x:v>
      </x:c>
      <x:c r="H234" s="7" t="str">
        <x:v>["cyber security"]</x:v>
      </x:c>
      <x:c r="I234" s="7" t="str">
        <x:v>["think analytically"]</x:v>
      </x:c>
      <x:c r="J234" s="7" t="str">
        <x:v>["cybersecurity"]</x:v>
      </x:c>
      <x:c r="K234" s="7" t="str">
        <x:v>[]</x:v>
      </x:c>
      <x:c r="L234" s="7" t="str">
        <x:v>["cloud_devops", "cybersecurity", "networks_systems"]</x:v>
      </x:c>
      <x:c r="M234" s="7" t="str">
        <x:v>["cloud_devops", "cybersecurity", "networks_systems"]</x:v>
      </x:c>
      <x:c r="N234" s="7" t="str">
        <x:v>["cybersecurity"]</x:v>
      </x:c>
      <x:c r="O234" s="7" t="str">
        <x:v>["esco", "description"]</x:v>
      </x:c>
      <x:c r="P234" s="7" t="str">
        <x:v>["problem_solving"]</x:v>
      </x:c>
      <x:c r="Q234" s="8" t="str">
        <x:v>yes</x:v>
      </x:c>
      <x:c r="R234" s="8" t="str">
        <x:v>no</x:v>
      </x:c>
      <x:c r="S234" s="8" t="str">
        <x:v>yes</x:v>
      </x:c>
      <x:c r="T234" s="7" t="str">
        <x:v>Systems and Networks Manager: λείπει networks/systems.</x:v>
      </x:c>
    </x:row>
    <x:row r="235">
      <x:c r="A235" s="5" t="str">
        <x:v>other_technical</x:v>
      </x:c>
      <x:c r="B235" s="5" t="str">
        <x:v>27742702</x:v>
      </x:c>
      <x:c r="C235" s="7" t="str">
        <x:v>Information Systems Manager - M/F</x:v>
      </x:c>
      <x:c r="D235" s="7" t="str">
        <x:v>Talents IT is a national recruitment firm specializing in IT AND DIGITAL PROFESSIONS. WE REGULARLY OFFER YOU JOB OFFERS IN THESE AREAS: DEVELOPMENT, SECURITY, INFRASTRUCTURE, R&amp;D, DATA, PROJECT, PRODUCT... Our experienced consultants offer you PERSONALIZED SUPPORT and sound advice to help you develop in your career. The Talents IT team is committed to being responsive and present to respond to your requests. Our consultants aim to support you in the search for your future IT experts, on permanent and fixed-term contracts, whatever your sector of activity. As part of A POSITION CREATION, your main mission is to structure, develop and secure the digital ecosystem of a TRAINING ORGANIZATION AND ITS +15 SCHOOLS IN FRANCE. As a TECHNOLOGY LEADER, you are able to MANAGE AND SECURE YOUR ENTIRE IS, serving: training, learning and educational innovation. You are the guarantor of performance, compliance and digital transformation. TECHNICAL MISSIONS: * Develop and manage the IT MASTER PLAN (3 to 5 years), * Supervise all IS INFRASTRUCTURES AND SERVICE PROVIDERS, * Define and deploy the SECURITY POLICY (PSSI, PRA/PCA), * Guarantee GDPR compliance and data protection, * Support the DIGITALIZATION OF TRAINING (LMS, tools collaborative, educational platforms). FUNCTIONAL MISSIONS: * Support and MANAGE an ERP Administrator directly, * Create, unite and manage a TECHNICAL AND FUNCTIONAL TEAM around quality and innovation objectives, * Organize and carry out INTERNAL TRAINING, * Respect deadlines and priorities, * Analyze existing processes and propose areas for improvement, * Contribute to cross-functional projects linked to the digitalization of the student journey, * Participate in internal meetings and collaborate with management. TECHNICAL ENVIRONMENT: * Education ERP and Windows OS, * Deployment of Cloud solutions and Microsoft 365, * Cybersecurity and Regulatory Issues: GDPR and Data. POSITION PREREQUISITES: * BAC+5 training in IT or engineering school, * At least 7 YEARS OF EXPERIENCE in A RESPONSIBLE POSITION within IS, * At least 3 YEARS OF MANAGEMENT EXPERIENCE, * At least 2 YEARS OF EXPERIENCE in IT SCHOOL MANAGEMENT, ideally in teaching superior. HARD-SKILLS: * Good understanding of EDUCATIONAL MANAGEMENT PROCESSES: registrations, exams, academic monitoring, graduation, * Knowledge of the OPERATION OF private or public higher education establishments, * Mastery of environments: NETWORK, CLOUD, CYBERSECURITY AND PROJECT MANAGEMENT, * Sensitivity to data SECURITY and GDPR. * EDITING SKILLS. SOFT-SKILLS: * Rigor, sense of organization and LEADERSHIP, * Relational ease and sense of USER SERVICE, * Ability to popularize and pedagogy, * Strength of proposal and desire for continuous improvement. BENEFITS AND REMUNERATION: * FROM 70 TO 85 K FIXED SALARY OVER 13 MONTHS, * Partial TELEWORK possible: 1 DAY per week, * MONTHLY TRAVEL BY TRAIN AND TO VARIOUS SITES IN FRANCE, * Restaurant vouchers, Mutual insurance, Transport, CSE and Gift card. RECRUITMENT PROCESS: 1st HR exchange in VISIO &gt; Final interview on SITE with Management.</x:v>
      </x:c>
      <x:c r="E235" s="5" t="str">
        <x:v>80000.0</x:v>
      </x:c>
      <x:c r="F235" s="5" t="str">
        <x:v>82f90e87-de92-4678-adae-61d3e5f7e1e4</x:v>
      </x:c>
      <x:c r="G235" s="7" t="str">
        <x:v>["attend meetings", "continuous improvement philosophies", "coordinate security", "cyber security", "deploy cloud resource", "ensure compliance with policies", "install operating system", "lead others", "manage standard enterprise resource planning system", "pedagogy"]</x:v>
      </x:c>
      <x:c r="H235" s="7" t="str">
        <x:v>["cyber security"]</x:v>
      </x:c>
      <x:c r="I235" s="7" t="str">
        <x:v>["lead others"]</x:v>
      </x:c>
      <x:c r="J235" s="7" t="str">
        <x:v>["cybersecurity"]</x:v>
      </x:c>
      <x:c r="K235" s="7" t="str">
        <x:v>[]</x:v>
      </x:c>
      <x:c r="L235" s="7" t="str">
        <x:v>["cybersecurity"]</x:v>
      </x:c>
      <x:c r="M235" s="7" t="str">
        <x:v>["cybersecurity"]</x:v>
      </x:c>
      <x:c r="N235" s="7" t="str">
        <x:v>["cybersecurity"]</x:v>
      </x:c>
      <x:c r="O235" s="7" t="str">
        <x:v>["esco", "description"]</x:v>
      </x:c>
      <x:c r="P235" s="7" t="str">
        <x:v>["leadership"]</x:v>
      </x:c>
      <x:c r="Q235" s="8" t="str">
        <x:v>yes</x:v>
      </x:c>
      <x:c r="R235" s="8" t="str">
        <x:v>yes</x:v>
      </x:c>
      <x:c r="S235" s="8" t="str">
        <x:v>yes</x:v>
      </x:c>
      <x:c r="T235" s="7" t="str">
        <x:v>Reviewed against title, duties, mapped skills and detection sources.</x:v>
      </x:c>
    </x:row>
    <x:row r="236">
      <x:c r="A236" s="5" t="str">
        <x:v>other_technical</x:v>
      </x:c>
      <x:c r="B236" s="5" t="str">
        <x:v>9004629</x:v>
      </x:c>
      <x:c r="C236" s="7" t="str">
        <x:v>IT system engineer (M/F)</x:v>
      </x:c>
      <x:c r="D236" s="7" t="str">
        <x:v>Becoming a temporary worker at Start People means benefiting from numerous advantages: -A sponsorship bonus of €100 if you help one of your friends to be employed by Start People on a temporary, fixed-term or permanent basis -A profit-sharing bonus based on your hours worked -Training offers to help you improve your skills and progress in your career -A Social and Economic Committee which offers you numerous advantages for your family events, sporting activities, vacations, etc. -Support from the FASTT from the moment you 1st hour worked (housing, mobility, childcare, complementary health insurance, etc.) Our StartApp application makes your daily life as a temporary worker easier: your deposits, time records, certificates and other documents will be at your fingertips! About Start People Permanent contract, fixed-term contract or temporary contract, whatever the sector of activity, Start People supports you throughout your professional career. At Start People, we prioritize human relations and delegate 100,000 people each year. Our teams listen to your needs and are attentive to your constraints to offer you the most suitable mission with one of our 19,000 client companies. Thousands of job offers are online every day on our site startpeople.fr. POSITION: LEAD NETWORK ENGINEER (M/F) Company: Our client develops turnkey WiFi and IP solutions (IPTV, Chromecast, VOIP, energy savings, etc.) for B2B. Market leader, we now equip more than 30% of French hotels, but also the French army, hospitals and clinics, etc. The company is currently experiencing strong growth and wishes to strengthen its technical teams. Do you want to join a human-sized company in constant development? Do you want to evolve in a stimulating technical environment alongside experts? Join us! Missions In collaboration with the company's team of engineers and developers, you contribute to integrating, developing and maintaining our Wifi and IP solutions: - You have a lead role for the L3 team (4 people) - You interact with the R and D teams of our equipment suppliers (Aruba, Ruckus, etc.) in order to integrate new models into our solutions, and optimize our existing solutions. - You will monitor equipment developments/updates and evaluate their impacts in relation to integration. - You support certain key clients on complex deployments, in conjunction with our key account teams. - For technical problems that could not be resolved by our level 1 and 2 technicians, you intervene as backup to resolve technical malfunctions. - You redirect integration documentation and documentation for the support teams. - You may be required to train the support teams. The majority of subjects encountered concern hotel WiFi, but also other sectors of activity (health, offices, campsites, stores, army, etc.) or other IP solutions (IPTV, Chromecast, VOIP, dynamic display, video surveillance, energy savings, etc.). PROFILE: Engineer profile of very good level training, type INSA, Telecom or generalist, you are curious, dynamic and have good knowledge of Wifi networks. You are results-oriented and have a team spirit. Training: -Bac +5 (Master / MBA) (Optional) Job location: Face-to-face Job type: Full-time, permanent - 8 years minimum experience Status: Executive Why join us? · Learn alongside experts, and evolve in the company according to your desires and skills · Join dynamic teams on a human scale, which move forward together effectively · Be an actor/actress in a major project, with a real societal impact · A practical location, accessible by public transport (C3 bus, metro A), 15 minutes on foot from the Part Dieu train station, with company parking nearby · Benefit from a good professional/personal life balance In the As part of its Diversity policy, Start People studies all applications for equal qualifications, including those from people with disabilities. Are you interested in this mission? Go ahead and apply now! Our agency will get back to you by e-mail or telephone, then you will be able to speak with a recruitment manager, so that they can validate the suitability of your profile. N</x:v>
      </x:c>
      <x:c r="E236" s="5" t="str">
        <x:v>55000.0</x:v>
      </x:c>
      <x:c r="F236" s="5" t="str">
        <x:v>92bb3d8c-8a9f-4cd7-80ec-247bbf173004</x:v>
      </x:c>
      <x:c r="G236" s="7" t="str">
        <x:v>["babysitting", "communicate by telephone", "complementary and alternative medicine", "energy efficiency", "manage closed-circuit television system", "mobility as a service", "organise facilities for office personnel", "strive for company growth"]</x:v>
      </x:c>
      <x:c r="H236" s="7" t="str">
        <x:v>[]</x:v>
      </x:c>
      <x:c r="I236" s="7" t="str">
        <x:v>["communicate by telephone"]</x:v>
      </x:c>
      <x:c r="J236" s="7" t="str">
        <x:v>[]</x:v>
      </x:c>
      <x:c r="K236" s="7" t="str">
        <x:v>["networks_systems"]</x:v>
      </x:c>
      <x:c r="L236" s="7" t="str">
        <x:v>[]</x:v>
      </x:c>
      <x:c r="M236" s="7" t="str">
        <x:v>["networks_systems"]</x:v>
      </x:c>
      <x:c r="N236" s="7" t="str">
        <x:v>["networks_systems"]</x:v>
      </x:c>
      <x:c r="O236" s="7" t="str">
        <x:v>["title"]</x:v>
      </x:c>
      <x:c r="P236" s="7" t="str">
        <x:v>["communication"]</x:v>
      </x:c>
      <x:c r="Q236" s="8" t="str">
        <x:v>yes</x:v>
      </x:c>
      <x:c r="R236" s="8" t="str">
        <x:v>yes</x:v>
      </x:c>
      <x:c r="S236" s="8" t="str">
        <x:v>yes</x:v>
      </x:c>
      <x:c r="T236" s="7" t="str">
        <x:v>Reviewed against title, duties, mapped skills and detection sources.</x:v>
      </x:c>
    </x:row>
    <x:row r="237">
      <x:c r="A237" s="5" t="str">
        <x:v>other_technical</x:v>
      </x:c>
      <x:c r="B237" s="5" t="str">
        <x:v>27879621</x:v>
      </x:c>
      <x:c r="C237" s="7" t="str">
        <x:v>Business / IT sales engineer (M/F)</x:v>
      </x:c>
      <x:c r="D237" s="7" t="str">
        <x:v>Actual Talent is the specialized division of Actual group, the 5th largest player in work and employment in France with a resolutely humanist vision. With our clients, we deploy Talent acquisition and evaluation solutions that build the performance of their organization today and tomorrow. For more than 20 years, our specialized consultants in our 13 offices in France have supported companies in their search for executives, experts and qualified profiles in temporary, permanent, fixed-term contracts or service provision. Actual Talent Lille is looking for an IT Sales Representative M/F for its client, an IT outsourcing company. As a Sales Engineer within an IT services company specializing in complex architectures, you are responsible for business development and management of a customer portfolio. You identify opportunities, qualify needs, propose suitable solutions and manage the complete sales cycle around infrastructures, networks and security solutions. You will work closely with the technical and pre-sales teams to build relevant proposals and ensure customer satisfaction. Missions: - Identify new commercial opportunities in your sector - Actively prospect potential customers and partners. - Build and manage a solid and documented commercial pipeline. - Achieve turnover and margin objectives defined by management. - Understand customers' business and technological challenges. - Qualify infrastructure, network, security, Microsoft 365, mobility, supervision needs - Detect strategic projects requiring the intervention of technical or pre-sales teams. - Work closely with pre-sales engineers to develop suitable solutions: o Networks: Cisco, Meraki, OpenGear, LAN, Wi-Fi. o Infrastructure: Lenovo, IBM, VMware, Microsoft, Object First Starwind. o Microsoft environments: Azure, Active Directory, Exchange, Teams, Office 365, SQL. o Security: Firewall, VPN, EDR/NDR/XDR, perimeter security, You have significant experience as an IT Sales Representative ideally oriented to Infrastructure. Commercial skills: - Excellent sense of negotiation and closing. - Strong results orientation and customer satisfaction. - Ability to popularize technical solutions to various stakeholders. - Comfort in managing a long and complex sales cycle. Technical skills (a valued asset): - Networks: Cisco, Meraki, Fortinet. - Infrastructure: VMware, Microsoft, Lenovo, IBM. - Security: Fortinet, Cisco - Meraki, Sentinel One, Vectra, Hornet. - Microsoft (Office 365, Teams). - Management: Manage Engine - IS supervision and management environments (ManageEngine, PRTG). Experience: - Minimum 2 to 5 years of experience in selling IT solutions: networks, infrastructure, cybersecurity, cloud or managed services. - Experience in selling complex projects (ideally with AO, tailor-made solutions, integration). Working conditions: - Position based in Vendeville (Lille metropolis) with occasional customer trips. - Attractive + variable salary uncapped depending on commercial performance. - Company vehicle. - Family mutual insurance. - Restaurant vouchers. - 50 days OFF (25 days RTT + 25 days paid leave). - Partial teleworking possible.</x:v>
      </x:c>
      <x:c r="E237" s="5" t="str">
        <x:v>52500.0</x:v>
      </x:c>
      <x:c r="F237" s="5" t="str">
        <x:v>14031d4a-6e99-442f-b4fe-18262b6432b2</x:v>
      </x:c>
      <x:c r="G237" s="7" t="str">
        <x:v>["SQL", "coordinate security", "customer relationship management", "cyber security", "define firewall rules", "develop business case", "guarantee customer satisfaction", "implement a management system", "manage sales teams", "mobility as a service", "prospect new customers", "satisfy customers", "talent management strategies"]</x:v>
      </x:c>
      <x:c r="H237" s="7" t="str">
        <x:v>["SQL", "cyber security"]</x:v>
      </x:c>
      <x:c r="I237" s="7" t="str">
        <x:v>["customer relationship management", "satisfy customers"]</x:v>
      </x:c>
      <x:c r="J237" s="7" t="str">
        <x:v>["cybersecurity", "data_analysis"]</x:v>
      </x:c>
      <x:c r="K237" s="7" t="str">
        <x:v>[]</x:v>
      </x:c>
      <x:c r="L237" s="7" t="str">
        <x:v>["cybersecurity"]</x:v>
      </x:c>
      <x:c r="M237" s="7" t="str">
        <x:v>["cybersecurity", "data_analysis"]</x:v>
      </x:c>
      <x:c r="N237" s="7" t="str">
        <x:v>["cybersecurity"]</x:v>
      </x:c>
      <x:c r="O237" s="7" t="str">
        <x:v>["esco", "description"]</x:v>
      </x:c>
      <x:c r="P237" s="7" t="str">
        <x:v>["customer_interaction"]</x:v>
      </x:c>
      <x:c r="Q237" s="8" t="str">
        <x:v>yes</x:v>
      </x:c>
      <x:c r="R237" s="8" t="str">
        <x:v>yes</x:v>
      </x:c>
      <x:c r="S237" s="8" t="str">
        <x:v>yes</x:v>
      </x:c>
      <x:c r="T237" s="7" t="str">
        <x:v>Reviewed against title, duties, mapped skills and detection sources.</x:v>
      </x:c>
    </x:row>
    <x:row r="238">
      <x:c r="A238" s="5" t="str">
        <x:v>other_technical</x:v>
      </x:c>
      <x:c r="B238" s="5" t="str">
        <x:v>27688596</x:v>
      </x:c>
      <x:c r="C238" s="7" t="str">
        <x:v>IT support technician (M/F)</x:v>
      </x:c>
      <x:c r="D238" s="7" t="str">
        <x:v>Job title: IT Technician (m/f) We are looking for an enthusiastic IT Support Technician to join our dynamic team in Montpellier. This position is essential to ensure quality support for our users and to effectively manage our IT assets. Start date: January 5, 2026 Your missions: User Support: Manage calls and requests via the hotline, diagnose and resolve level 1 incidents. Follow up with the ticket management tool (ITSM) and provide technical assistance on our tools and applications. Asset and Systems Management: Deploy workstations, manage equipment, and participate in the inventory and renewal of IT assets. Monitor and apply updates to systems (Windows, Linux, ChromeOS). Documentation and Continuous Improvement: Write and update technical procedures, as well as knowledge bases in the ticket manager. IT Projects: Provide technical and operational support on deployment or migration projects led by the IT department. We are looking for an IT Technician (m/f) with in-depth expertise in the IT field. The ideal candidate must demonstrate advanced technical skills and an ability to effectively resolve technical issues. Skills required for this position include: Knowledge of general IT (hardware, software, networking). Mastery of Microsoft (Windows, Office 365) and Google (Workspace) environments. Knowledge of how a ticket management tool (ITSM) works. Excellent written and oral expression. Mastery of technical English (read, written). Skills appreciated in GPO Administration. Advanced knowledge of Google Workspace. Knowledge of Linux &amp; ChromeOS environments. Scripting skills (Bash, Python or similar). Knowledge of Cloud technologies (eg: GCP).</x:v>
      </x:c>
      <x:c r="E238" s="5" t="str">
        <x:v>25000.0</x:v>
      </x:c>
      <x:c r="F238" s="5" t="str">
        <x:v>64c7d461-152c-477f-a8e2-c2c537e9d617</x:v>
      </x:c>
      <x:c r="G238" s="7" t="str">
        <x:v>["Python (computer programming)", "authoring software", "continuous improvement philosophies", "manage chiropractic professional equipment", "provide user documentation", "solve technical problems"]</x:v>
      </x:c>
      <x:c r="H238" s="7" t="str">
        <x:v>["Python (computer programming)"]</x:v>
      </x:c>
      <x:c r="I238" s="7" t="str">
        <x:v>["solve technical problems"]</x:v>
      </x:c>
      <x:c r="J238" s="7" t="str">
        <x:v>["data_analysis"]</x:v>
      </x:c>
      <x:c r="K238" s="7" t="str">
        <x:v>["networks_systems"]</x:v>
      </x:c>
      <x:c r="L238" s="7" t="str">
        <x:v>["cloud_devops", "networks_systems"]</x:v>
      </x:c>
      <x:c r="M238" s="7" t="str">
        <x:v>["cloud_devops", "data_analysis", "networks_systems"]</x:v>
      </x:c>
      <x:c r="N238" s="7" t="str">
        <x:v>["networks_systems"]</x:v>
      </x:c>
      <x:c r="O238" s="7" t="str">
        <x:v>["esco", "title", "description"]</x:v>
      </x:c>
      <x:c r="P238" s="7" t="str">
        <x:v>["problem_solving"]</x:v>
      </x:c>
      <x:c r="Q238" s="8" t="str">
        <x:v>yes</x:v>
      </x:c>
      <x:c r="R238" s="8" t="str">
        <x:v>yes</x:v>
      </x:c>
      <x:c r="S238" s="8" t="str">
        <x:v>yes</x:v>
      </x:c>
      <x:c r="T238" s="7" t="str">
        <x:v>Reviewed against title, duties, mapped skills and detection sources.</x:v>
      </x:c>
    </x:row>
    <x:row r="239">
      <x:c r="A239" s="5" t="str">
        <x:v>other_technical</x:v>
      </x:c>
      <x:c r="B239" s="5" t="str">
        <x:v>70iieqsqvs</x:v>
      </x:c>
      <x:c r="C239" s="7" t="str">
        <x:v>Process project manager, piping project manager (M/F)</x:v>
      </x:c>
      <x:c r="D239" s="7" t="str">
        <x:v>RESPONSIBILITIES: Reporting to the Technical and Commercial Director, you will be responsible for offering a global solution to your clients while mastering the various key aspects of the projects (Health, Safety, Environment / technical, economic, financial and legal aspects). You will carry out prospecting, strengthen relationships with customers and be the preferred contact for carrying out business. You will take charge of the commercial and technical monitoring of projects and guarantee their successful delivery. Main missions: • Project management: • Define the feasibility and profitability of the project in collaboration with the teams. • Ensure optimal conditions for the production of the project and manage the monitoring of necessary information (personnel, authorizations, etc.). • Propose improvements to the system in place. • Manage construction site equipment and its use in compliance with regulations. • Ensure rigorous financial monitoring of complex projects. • Respond to calls for tenders, taking charge of technical, commercial, contractual, budgetary and planning aspects. • Implement indicators adapted to the needs of the project to monitor costs, quality and deadlines. • Compliance with standards and safety: • Apply and enforce the Health, Safety, Environment policy. • Analyze and manage global risks (industrial, projects, cybersecurity, environment, etc.). • Implement corrective and preventive actions in the context of work accidents or malfunctions. • Ensure that safety measures on construction sites are respected (EPC, PPE, etc.). • Team management: • Plan and distribute tasks based on skills and workload. • Supervise and support the development of team skills. • Participate in the management of site personnel (assignment, clocking, etc.). • Communication and coordination: • Ensure smooth communication with all project stakeholders. • Participate in the annual management review and in the life of the company through feedback. • Maintain a relationship of trust with customers and partners, being attentive to their needs and suggestions for improvement. PROFILE WANTED: You have expertise in managing complex projects, developing dashboards and monitoring productivity. You are able to detect anomalies and alert in a timely manner. Solid experience in business management in the field of boilermaking/piping, as well as mastery of design tools (CAD, CAD) and office automation is essential. Skills in risk management and HSE audits are required as well as good English. Fluency in German would be a plus. Position located near Guebwiller, with occasional travel to be expected. If you are passionate about industrial projects and want to join a growing company, do not hesitate to send us your application. Recruitment process: Please send your CV via the link in the advertisement. Your application will be processed confidentially, within 2 weeks maximum. If your application is successful, we will offer you one (or more) additional discussions, about the opportunity and your background. If your application is not accepted, we will, with your consent, keep your CV for other opportunities. SKAYL MULHOUSE This opportunity is managed by: Grégory LUBANSKY - HR Manager-Consultant Born from the union between Offer RH, TDF Conseil and Spade &amp; Partners, SKAYL is today the regional leader in recruitment and HR consulting. To find out more about our opportunities, do not hesitate to consult our website: https://skayl.fr/ as well as our career site: https://skayl.nous-recrutons.fr/nos-offres-demploi/</x:v>
      </x:c>
      <x:c r="E239" s="5" t="str">
        <x:v>57500.0</x:v>
      </x:c>
      <x:c r="F239" s="5" t="str">
        <x:v>bea99fea-0383-4c63-b944-70d4799de2c5</x:v>
      </x:c>
      <x:c r="G239" s="7" t="str">
        <x:v>["German", "adhere to health well-being and safety", "carry out purchasing operations in the timber business", "communication", "cyber security", "environmental policy", "internal risk management policy", "maintain relationship with customers", "manage feedback", "manage financial risk", "manage teamwork", "meet deadlines", "promote health and safety", "supervise work"]</x:v>
      </x:c>
      <x:c r="H239" s="7" t="str">
        <x:v>["cyber security"]</x:v>
      </x:c>
      <x:c r="I239" s="7" t="str">
        <x:v>["communication", "manage teamwork", "meet deadlines"]</x:v>
      </x:c>
      <x:c r="J239" s="7" t="str">
        <x:v>["cybersecurity"]</x:v>
      </x:c>
      <x:c r="K239" s="7" t="str">
        <x:v>[]</x:v>
      </x:c>
      <x:c r="L239" s="7" t="str">
        <x:v>["cybersecurity"]</x:v>
      </x:c>
      <x:c r="M239" s="7" t="str">
        <x:v>["cybersecurity"]</x:v>
      </x:c>
      <x:c r="N239" s="7" t="str">
        <x:v>["cybersecurity"]</x:v>
      </x:c>
      <x:c r="O239" s="7" t="str">
        <x:v>["esco", "description"]</x:v>
      </x:c>
      <x:c r="P239" s="7" t="str">
        <x:v>["communication", "initiative_responsibility", "teamwork"]</x:v>
      </x:c>
      <x:c r="Q239" s="8" t="str">
        <x:v>no</x:v>
      </x:c>
      <x:c r="R239" s="8" t="str">
        <x:v>no</x:v>
      </x:c>
      <x:c r="S239" s="8" t="str">
        <x:v>yes</x:v>
      </x:c>
      <x:c r="T239" s="7" t="str">
        <x:v>False positive: process/piping project manager· το safety δεν είναι cybersecurity.</x:v>
      </x:c>
    </x:row>
    <x:row r="240">
      <x:c r="A240" s="5" t="str">
        <x:v>other_technical</x:v>
      </x:c>
      <x:c r="B240" s="5" t="str">
        <x:v>001905</x:v>
      </x:c>
      <x:c r="C240" s="7" t="str">
        <x:v>Infrastructure Director @DSI of 150 people (M/F)</x:v>
      </x:c>
      <x:c r="D240" s="7" t="str">
        <x:v>The company supported and the missions: This group of national and international scope, a true leader in the services and assistance sector (B2B2C) is engaged in a major transformation phase aimed at overhauling its IT organization by 2026-2028. To support this dynamic, a new unified Information Systems Department has been created, bringing together the strengths of several entities to pool expertise. This future Infrastructure Technical Director (DTI) will have to integrate innovation in the service of resilience and performance and will lead a concrete technological transformation (Cloud, automation, infrastructure modernization). Your missions: Reporting directly to the Group CIO and member of the Management Committee, you embody technical and managerial leadership for a management of nearly 150 employees. Your role is central to instilling a DevOps and Agile culture, while ensuring the robustness of operations. Your responsibilities revolve around key areas: - Strategic &amp; Technological Management: Define and implement the technical roadmap, manage the overall IT budget and manage the relationship with partners and suppliers (hosting, software/hardware solutions). - Management of large teams: Lead, unite and grow multidisciplinary teams (Infrastructure, Production/Operations, Support, Technical Expertise) spread across several sites, in a context of merger and harmonization of practices. - Transformation &amp; Modernization: Orchestrate the transition to the Cloud (private/public/hybrid) and supervise the migration of existing environments (including AS400 or SAP type ecosystems) to modern and sustainable solutions. - Operational Excellence: Guarantee the availability, security and resilience of the IS through the industrialization of processes and the implementation of advanced automation solutions. - Innovation: Ensure active monitoring of the state of the technological art to anticipate developments and maintain the group's competitive advantage. Profile: Above all, we are looking for a visionary leader, capable of combining technical expertise and situational intelligence to support change at an organizational, technical or methodological level. With higher education, ideally from major schools, you have solid experience within the IT department of large groups with complex and multi-site infrastructures. - Technical Skills: You have a solid technical background covering the major families of infrastructures: Distributed operating systems, Virtualization, Middleware, Databases and Networks. Proven expertise in Cloud environments (ideally Microsoft Azure) and automation practices is essential. Knowledge of legacy environments is a plus for managing migrations. Equivalent technologies are obviously accepted. - Experience: You have significant experience in a technical management or infrastructure/production management position, ideally acquired in the services sector (B2C/B2B2C), with the management of large, multi-site teams. - Soft Skills: Participative manager, you know how to popularize complex issues with general management and inspire your teams. Your rigor, your political sense and your ability to unite around a common vision will be your best assets to succeed in this transformation. Advantages: By joining this company, you benefit from a working environment combining intellectual challenge and comfort of life: - Attractive remuneration: Overall package between €100k and €130k gross annually depending on profile. - Location of your choice: Position based in Niort or Nantes, cities recognized for their dynamism and their living environment. - Numerous social benefits linked to the agreement and the company The path for this position: - In-depth interview with an Externatic consultant to explore your skills and expectations. - Interview with the company's HR department (including personality test) then selection of a short list presented to the CIO. - Meeting with the CIO and certain members of the management committee</x:v>
      </x:c>
      <x:c r="E240" s="5" t="str">
        <x:v>115000.0</x:v>
      </x:c>
      <x:c r="F240" s="5" t="str">
        <x:v>109e0a5d-203d-4af6-8f70-692111335ec3</x:v>
      </x:c>
      <x:c r="G240" s="7" t="str">
        <x:v>["DevOps", "adapt to changes in technological development plans", "advise on sustainability solutions", "automation technology", "coordinate security", "database", "implement strategic management", "lead a team", "maintain relationship with customers", "manage ICT virtualisation environments", "mergers and acquisitions", "production processes", "provide technical expertise", "supplier management", "technical terminology"]</x:v>
      </x:c>
      <x:c r="H240" s="7" t="str">
        <x:v>["DevOps", "database"]</x:v>
      </x:c>
      <x:c r="I240" s="7" t="str">
        <x:v>["lead a team"]</x:v>
      </x:c>
      <x:c r="J240" s="7" t="str">
        <x:v>["cloud_devops", "data_engineering"]</x:v>
      </x:c>
      <x:c r="K240" s="7" t="str">
        <x:v>[]</x:v>
      </x:c>
      <x:c r="L240" s="7" t="str">
        <x:v>["cloud_devops"]</x:v>
      </x:c>
      <x:c r="M240" s="7" t="str">
        <x:v>["cloud_devops", "data_engineering"]</x:v>
      </x:c>
      <x:c r="N240" s="7" t="str">
        <x:v>["cloud_devops"]</x:v>
      </x:c>
      <x:c r="O240" s="7" t="str">
        <x:v>["esco", "description"]</x:v>
      </x:c>
      <x:c r="P240" s="7" t="str">
        <x:v>["leadership"]</x:v>
      </x:c>
      <x:c r="Q240" s="8" t="str">
        <x:v>yes</x:v>
      </x:c>
      <x:c r="R240" s="8" t="str">
        <x:v>yes</x:v>
      </x:c>
      <x:c r="S240" s="8" t="str">
        <x:v>yes</x:v>
      </x:c>
      <x:c r="T240" s="7" t="str">
        <x:v>Reviewed against title, duties, mapped skills and detection sources.</x:v>
      </x:c>
    </x:row>
    <x:row r="241">
      <x:c r="A241" s="5" t="str">
        <x:v>other_technical</x:v>
      </x:c>
      <x:c r="B241" s="5" t="str">
        <x:v>dd18c875-5581-4783-9090-8bf78d0dbcd1</x:v>
      </x:c>
      <x:c r="C241" s="7" t="str">
        <x:v>Systems and Networks Administrator - Internal IS F/M - Dynamips</x:v>
      </x:c>
      <x:c r="D241" s="7" t="str">
        <x:v>Join Dynamips and become one of the pillars of our IT infrastructure: as a System &amp; Network Administrator, you will guarantee performance, security and innovation at the heart of our internal IT service! Your daily life: On a daily basis, you will be able to: - Provide excellent service for internal employees. - Improve and automate internal IS processes - Ensure the security, availability and continuity of the Information System - Support the group's growth. Your challenges: Being one of the IS referents for the group's users Maintaining the IS in operational and secure condition Deploying IS projects To carry out your missions, you rely on the internal IT team, and more particularly on Arnaud, Director of the service; and of course, on the various services of the Dynamips group. ️Technical stack: o Mastery of Microsoft environments (Windows Server, Azure, Microsoft 365, Active Directory). o Good knowledge of networks (firewalls, switches, routing). o Understanding of cybersecurity issues and associated solutions. o Experience in diagnosing and resolving complex incidents. o Sophos, Windows 10/11, Azure, Windows Server (Active Directory, DNS, GPO), Intune, MSP tools, Microsoft 365 (Exchange Online, SharePoint, Teams), configuration of local networks (LAN/WAN) and VPN connections Package: Salary between 30,000 and 35,000 gross annually Laptop Smartphone Teleworking agreement (2 days per week) Support from Dynamips for the mutual fund up to 53% of the contribution (single or family) Training course, certifications &amp; development possibilities Incentive contract with company contribution Co-optation bonus The little extras of Dynamips: Sponsor, complete integration course and personalized follow-up throughout your career at Dynamips Horizontal organization of Dynamips which favors close relationships with your manager and the directors A sustainable and healthy company Modern premises, convivial spaces, equipped offices ... internal commissions to get involved A caring CSE A Quality of Life at Work approach Work with partner associations Dyna’péros Recruitment process: - An initial telephone exchange with Cécile (HRD) - An interview with Nicolas and Bruno (department managers) - And that's it! Training &amp; experience Minimum 3 experience within an IT department, particularly in systems and network administration professions. Be comfortable with Microsoft technical environments Know security solutions Understand and know an infrastructure Key skills Anticipation/Organization Listening Adaptability Strength of proposal Communication Soft skills sought Technological curiosity and appetite for innovation. Sense of customer service and results orientation. Rigor, autonomy and spirit of initiative. Ability to evolve in a constantly changing environment.</x:v>
      </x:c>
      <x:c r="E241" s="5" t="str">
        <x:v>32500.0</x:v>
      </x:c>
      <x:c r="F241" s="5" t="str">
        <x:v>81480b40-a318-47f3-9b2c-56b69ed67d95</x:v>
      </x:c>
      <x:c r="G241" s="7" t="str">
        <x:v>["coordinate security", "domain name service", "handle cybersecurity incidents", "innovation processes", "patient autonomy", "show initiative"]</x:v>
      </x:c>
      <x:c r="H241" s="7" t="str">
        <x:v>["handle cybersecurity incidents"]</x:v>
      </x:c>
      <x:c r="I241" s="7" t="str">
        <x:v>["innovation processes", "show initiative"]</x:v>
      </x:c>
      <x:c r="J241" s="7" t="str">
        <x:v>["cybersecurity"]</x:v>
      </x:c>
      <x:c r="K241" s="7" t="str">
        <x:v>[]</x:v>
      </x:c>
      <x:c r="L241" s="7" t="str">
        <x:v>["cybersecurity", "networks_systems"]</x:v>
      </x:c>
      <x:c r="M241" s="7" t="str">
        <x:v>["cybersecurity", "networks_systems"]</x:v>
      </x:c>
      <x:c r="N241" s="7" t="str">
        <x:v>["cybersecurity"]</x:v>
      </x:c>
      <x:c r="O241" s="7" t="str">
        <x:v>["esco", "description"]</x:v>
      </x:c>
      <x:c r="P241" s="7" t="str">
        <x:v>["creativity", "initiative_responsibility"]</x:v>
      </x:c>
      <x:c r="Q241" s="8" t="str">
        <x:v>yes</x:v>
      </x:c>
      <x:c r="R241" s="8" t="str">
        <x:v>no</x:v>
      </x:c>
      <x:c r="S241" s="8" t="str">
        <x:v>yes</x:v>
      </x:c>
      <x:c r="T241" s="7" t="str">
        <x:v>Systems and Networks Administrator: λείπει networks/systems.</x:v>
      </x:c>
    </x:row>
    <x:row r="242">
      <x:c r="A242" s="5" t="str">
        <x:v>other_technical</x:v>
      </x:c>
      <x:c r="B242" s="5" t="str">
        <x:v>001868</x:v>
      </x:c>
      <x:c r="C242" s="7" t="str">
        <x:v>SITE RELIABILITY ENGINEER - SRE H/F</x:v>
      </x:c>
      <x:c r="D242" s="7" t="str">
        <x:v>The supported company and the missions: Do you want to contribute to a useful and innovative project, serving more sustainable and inclusive mobility? Join a young impactful technology company, which is reinventing the uses of carpooling through a collaborative and civic approach. Actor of a true new generation public service, this structure develops digital solutions with high added value, co-constructed with the territories and their users. Its mission: to promote shared mobility, reduce the carbon footprint of travel, and strengthen social ties. Growing rapidly and driven by an ambitious societal vision, it is today strengthening its Tech team with the support of the recruitment firm Externatic, a partner dedicated to IT recruitment on permanent contracts, excluding ESN. Your missions: make an impactful infrastructure more reliable and evolve. As a Site Reliability Engineer (SRE), you play a central role in the technical team, reporting directly to the Principal Engineer. Your mission: to guarantee the reliability, performance and security of production environments, while supporting development teams. You actively participate in the implementation of DevOps tooling, processes and best practices in a modern, cloud-native environment. Concretely, you will be in charge of: Providing support for the deployments and production of new features; Supervise and maintain the infrastructure, including the scaling of APIs and the event system; Administer rights, permissions and repositories (GitHub); Design and maintain scripts, middleware and monitoring tools; Manage API Gateway and associated flows; Collaborate with developers to make deployments more reliable with a logic of automation and continuous improvement. Profile: You have at least 5 years of experience as an SRE / DevOps Engineer, ideally in an agile environment, such as a start-up or scale-up. Technical skills sought: Infrastructure as Code: mastery of Terraform; CI/CD and versioning: excellent knowledge of GitHub Actions and advanced repository management; Orchestration: solid experience with Kubernetes; Language agnostic: ability to develop tools or scripts regardless of the language used; Security: DevSecOps best practices and environment security. Will be appreciated: Knowledge of an event system; Mastery of monitoring tools (OpenTelemetry, observability, tracing, etc.). Soft skills: You recognize yourself in these qualities: curiosity, autonomy, team spirit, reliability, ability to adapt... with a good dose of humor to nourish conviviality within the team! Advantages: A project with strong societal impact, aligned with human and environmental values; A permanent position based in Paris, Nantes, Lyon or fully remote; Real flexibility: 2 days of teleworking per week, adjustable according to your workload; A package of 215 days/year including 5 weeks of paid leave + 11 to 17 RTT depending on the calendar; Vacation bonus paid each summer; Mutual Alan, meal vouchers (Swile), 50% coverage of transport or IK bike; Regular team and company seminars to cultivate the collective; A stimulating and caring environment, with modern tech practices.</x:v>
      </x:c>
      <x:c r="E242" s="5" t="str">
        <x:v>50000.0</x:v>
      </x:c>
      <x:c r="F242" s="5" t="str">
        <x:v>f2b15a0e-e65a-438a-affb-29b9d50b77d1</x:v>
      </x:c>
      <x:c r="G242" s="7" t="str">
        <x:v>["DevOps", "continuous improvement philosophies", "develop innovative mobility solutions", "manage intellectual property rights", "patient autonomy", "supervise employees in food production plants"]</x:v>
      </x:c>
      <x:c r="H242" s="7" t="str">
        <x:v>["DevOps"]</x:v>
      </x:c>
      <x:c r="I242" s="7" t="str">
        <x:v>["supervise employees in food production plants"]</x:v>
      </x:c>
      <x:c r="J242" s="7" t="str">
        <x:v>["cloud_devops"]</x:v>
      </x:c>
      <x:c r="K242" s="7" t="str">
        <x:v>["cloud_devops"]</x:v>
      </x:c>
      <x:c r="L242" s="7" t="str">
        <x:v>["cloud_devops"]</x:v>
      </x:c>
      <x:c r="M242" s="7" t="str">
        <x:v>["cloud_devops"]</x:v>
      </x:c>
      <x:c r="N242" s="7" t="str">
        <x:v>["cloud_devops"]</x:v>
      </x:c>
      <x:c r="O242" s="7" t="str">
        <x:v>["esco", "title", "description"]</x:v>
      </x:c>
      <x:c r="P242" s="7" t="str">
        <x:v>["leadership"]</x:v>
      </x:c>
      <x:c r="Q242" s="8" t="str">
        <x:v>yes</x:v>
      </x:c>
      <x:c r="R242" s="8" t="str">
        <x:v>yes</x:v>
      </x:c>
      <x:c r="S242" s="8" t="str">
        <x:v>yes</x:v>
      </x:c>
      <x:c r="T242" s="7" t="str">
        <x:v>Reviewed against title, duties, mapped skills and detection sources.</x:v>
      </x:c>
    </x:row>
    <x:row r="243">
      <x:c r="A243" s="5" t="str">
        <x:v>other_technical</x:v>
      </x:c>
      <x:c r="B243" s="5" t="str">
        <x:v>001823</x:v>
      </x:c>
      <x:c r="C243" s="7" t="str">
        <x:v>Systems and applications technician M/F</x:v>
      </x:c>
      <x:c r="D243" s="7" t="str">
        <x:v>The company supported and the missions: The company A historic player in IT solutions for SMEs/VSEs, the company supports hundreds of SMEs and VSEs in the management, performance and security of their infrastructure. The Position Your responsibilities will be varied and focused on operational efficiency: - Application support and maintenance: - Ensure the deployment, configuration and updating of management software (ERP Sage, EBP, SILAE, LUCCA); - Diagnose and resolve technical incidents related to databases (SQL Server), networks or systems; - Collaborate with teams to guarantee the continuity of application services. - Supervision of SME/VSE infrastructures: - Use the supervision platform to anticipate and deal with system and network incidents; - Work on virtualized environments (VMware, Hyper-V) and manage backups (Veeam Backup); - Guarantee the availability and performance of Windows Servers and RDS solutions. - Continuous improvement and documentation:- Write technical procedures, intervention reports and monitoring documents to capitalize on good practices; - Actively participate in the optimization of internal processes and technological monitoring of developments in business software. Profile: What you bring: - Your knowledge of systems and networks or computer maintenance; - Your experience in technical support: system administration or application deployment; Your mastery of SQL Server databases (backup, restoration, scripts); - Your knowledge of Windows environments (10/11, Server, RDS) and access rights - Your experiences with virtualization solutions (VMware, Hyper-V) and backup tools (Veeam Backup); Your ability to quickly diagnose and resolve technical problems, even under pressure; - Your familiarity with Sage or EBP software would be a plus; - Your taste for teamwork and continuous improvement. The processProcessing of the application and meeting with Thomas HR interview and Manager Advantages: Why apply? - Remuneration depending on experience between 27 and 30 K€; - Compensatory rest days (8 to 10 days/year) and increased overtime; - SYNTEC conventional premium; - Restaurant vouchers; - Attractive mutual insurance and provident insurance contract; - Outsourced CE; - Collaborative and innovative work tools; - Regular corporate events (afterwork, team outing, Team Building, etc.).</x:v>
      </x:c>
      <x:c r="E243" s="5" t="str">
        <x:v>28500.0</x:v>
      </x:c>
      <x:c r="F243" s="5" t="str">
        <x:v>64c7d461-152c-477f-a8e2-c2c537e9d617</x:v>
      </x:c>
      <x:c r="G243" s="7" t="str">
        <x:v>["application process", "build team spirit", "continuous improvement philosophies", "maintain computer hardware", "provide technical documentation", "solution deployment", "solve technical problems"]</x:v>
      </x:c>
      <x:c r="H243" s="7" t="str">
        <x:v>["maintain computer hardware"]</x:v>
      </x:c>
      <x:c r="I243" s="7" t="str">
        <x:v>["solve technical problems"]</x:v>
      </x:c>
      <x:c r="J243" s="7" t="str">
        <x:v>["networks_systems"]</x:v>
      </x:c>
      <x:c r="K243" s="7" t="str">
        <x:v>[]</x:v>
      </x:c>
      <x:c r="L243" s="7" t="str">
        <x:v>["data_engineering", "networks_systems"]</x:v>
      </x:c>
      <x:c r="M243" s="7" t="str">
        <x:v>["data_engineering", "networks_systems"]</x:v>
      </x:c>
      <x:c r="N243" s="7" t="str">
        <x:v>["networks_systems"]</x:v>
      </x:c>
      <x:c r="O243" s="7" t="str">
        <x:v>["esco", "description"]</x:v>
      </x:c>
      <x:c r="P243" s="7" t="str">
        <x:v>["problem_solving"]</x:v>
      </x:c>
      <x:c r="Q243" s="8" t="str">
        <x:v>yes</x:v>
      </x:c>
      <x:c r="R243" s="8" t="str">
        <x:v>yes</x:v>
      </x:c>
      <x:c r="S243" s="8" t="str">
        <x:v>yes</x:v>
      </x:c>
      <x:c r="T243" s="7" t="str">
        <x:v>Reviewed against title, duties, mapped skills and detection sources.</x:v>
      </x:c>
    </x:row>
    <x:row r="244">
      <x:c r="A244" s="5" t="str">
        <x:v>other_technical</x:v>
      </x:c>
      <x:c r="B244" s="5" t="str">
        <x:v>0qil5kkyzx</x:v>
      </x:c>
      <x:c r="C244" s="7" t="str">
        <x:v>IT support technician M/F</x:v>
      </x:c>
      <x:c r="D244" s="7" t="str">
        <x:v>RESPONSIBILITIES: ISAGRI is 12 teams of advisors whose work is focused on quality. We provide a tailor-made response to professional clients, farmers, accounting firms, management and accounting associations and SMEs. By joining the Customer Technical Services Center, your missions will be as follows: - Ensure the effective resolution of technical problems encountered by our customers with their software, whether by telephone or email. - Provide support on the platforms of our managed clients (management, monitoring, server maintenance, etc.). - Work on monitoring applications and the system in order to guarantee a good level of operation and detect potential anomalies. - Contribute to the continuous improvement of our internal processes by being proactive. PROFILE WANTED: You have IT training or successful experience in a similar position. You are familiar with Microsoft environments (Windows Server, Office365, etc.). You have basic network skills (IP, NAT, DNS, etc.) Your desire to satisfy the customer will allow you to evolve within a structure that puts listening and customer delight at the heart of its activity. If you are curious, autonomous, rigorous and if you like teamwork, then this position is for you! DEVELOPMENTS Joining our Group is the guarantee of continuing training, a personalized career plan (management or technical expertise) and local management. The HR policy guarantees you regular support to help you progress and move towards new missions depending on your project. We guarantee you a diversity of your missions over the years. You will be able to carry out training at the customer's premises or remotely, write documentation, test new versions or even provide even more personalized support to our customers (configurations, audit, etc.). After 3-4 years of experience, the profession changes again in dimension and other professions also open up to you: product marketing, software testing, field training or management. PROPOSED CONDITIONS Position to be filled on a permanent basis. Position located in Vendôme Remuneration: Fixed - Participation - Profit-sharing. 2 days of teleworking/week. Possibility of benefiting from our housing assistance unit. As part of its HR policy, ISAGRI studies, with equal skills, all applications including those from people with disabilities.</x:v>
      </x:c>
      <x:c r="E244" s="5" t="str">
        <x:v>30000.0</x:v>
      </x:c>
      <x:c r="F244" s="5" t="str">
        <x:v>64c7d461-152c-477f-a8e2-c2c537e9d617</x:v>
      </x:c>
      <x:c r="G244" s="7" t="str">
        <x:v>["conduct financial audits", "domain name service", "execute software tests", "manage personal progression", "provide user documentation", "think proactively"]</x:v>
      </x:c>
      <x:c r="H244" s="7" t="str">
        <x:v>[]</x:v>
      </x:c>
      <x:c r="I244" s="7" t="str">
        <x:v>[]</x:v>
      </x:c>
      <x:c r="J244" s="7" t="str">
        <x:v>[]</x:v>
      </x:c>
      <x:c r="K244" s="7" t="str">
        <x:v>["networks_systems"]</x:v>
      </x:c>
      <x:c r="L244" s="7" t="str">
        <x:v>[]</x:v>
      </x:c>
      <x:c r="M244" s="7" t="str">
        <x:v>["networks_systems"]</x:v>
      </x:c>
      <x:c r="N244" s="7" t="str">
        <x:v>["networks_systems"]</x:v>
      </x:c>
      <x:c r="O244" s="7" t="str">
        <x:v>["title"]</x:v>
      </x:c>
      <x:c r="P244" s="7" t="str">
        <x:v>[]</x:v>
      </x:c>
      <x:c r="Q244" s="8" t="str">
        <x:v>yes</x:v>
      </x:c>
      <x:c r="R244" s="8" t="str">
        <x:v>yes</x:v>
      </x:c>
      <x:c r="S244" s="8" t="str">
        <x:v>yes</x:v>
      </x:c>
      <x:c r="T244" s="7" t="str">
        <x:v>Reviewed against title, duties, mapped skills and detection sources.</x:v>
      </x:c>
    </x:row>
    <x:row r="245">
      <x:c r="A245" s="5" t="str">
        <x:v>other_technical</x:v>
      </x:c>
      <x:c r="B245" s="5" t="str">
        <x:v>0sjpnw9h5i</x:v>
      </x:c>
      <x:c r="C245" s="7" t="str">
        <x:v>Apprenticeship - IT Technician (M/F)</x:v>
      </x:c>
      <x:c r="D245" s="7" t="str">
        <x:v>RESPONSIBILITIES: Our client is a leading player in innovation, specializing in software and hardware security, with a strong international presence. As part of the development of its activities, our client offers a 2-year work-study program, offering the possibility, at the end of this, to join the company on a permanent contract. LINUX IT TECHNICIAN (M/F) ALTERNATION - BORDEAUX (33) - SCHOOL 2026 Under the supervision of the IT Manager, you will contribute to the proper functioning and reliability of the internal IT infrastructure, and participate in level 1 and 2 support. Your main missions will be: • Participate in the deployment and maintenance of IT infrastructures (networks, servers, storage). • Monitor and improve system performance, security and reliability. • Provide level 1 and 2 support on product-related IT components. • Apply and promote good IT security practices, contribute to data protection and compliance. • Manage the arrival and departure of employees (accounts, equipment). • Order and receive equipment (PC, disks, RAM, peripherals). • Document technical procedures and configurations PROFILE WANTED: You are preparing for the start of the 2026 school year for your first year of a Master's degree in computer engineering, and ideally have initial experience (internship or work-study) in IT support or operations. You have an appetite for Linux environments and have good foundations in networking and virtualization. Knowledge of Docker, IT security practices and a strong interest in cybersecurity will be highly appreciated. Beyond technical skills, we are looking for a dynamic, involved, curious and adaptable person. You have excellent interpersonal skills, a real sense of service and the desire to evolve in a stimulating technological environment. A B2/C1 level of English is essential to interact internally, with customers, tools and documentation. Recruitment process: NEXTGEN RH also supports you throughout the recruitment process through a fundamentally human approach. 1/ Telephone exchange with your recruitment manager 2/ Physical or video interview with your recruitment manager 3/ Interviews and tests with our client. The work-study position is to be filled for the start of the 2026 school year, with the possibility of taking up the position in the summer. It is also possible to do a company discovery internship during the year.</x:v>
      </x:c>
      <x:c r="E245" s="5" t="str">
        <x:v>149700.0</x:v>
      </x:c>
      <x:c r="F245" s="5" t="str">
        <x:v>64c7d461-152c-477f-a8e2-c2c537e9d617</x:v>
      </x:c>
      <x:c r="G245" s="7" t="str">
        <x:v>["coordinate security", "ensure compliance with policies", "manage ICT virtualisation environments", "manage IT security compliances", "pose questions referring to documents", "provide user documentation", "set up cybersecurity training programmes"]</x:v>
      </x:c>
      <x:c r="H245" s="7" t="str">
        <x:v>["set up cybersecurity training programmes"]</x:v>
      </x:c>
      <x:c r="I245" s="7" t="str">
        <x:v>[]</x:v>
      </x:c>
      <x:c r="J245" s="7" t="str">
        <x:v>["cybersecurity"]</x:v>
      </x:c>
      <x:c r="K245" s="7" t="str">
        <x:v>[]</x:v>
      </x:c>
      <x:c r="L245" s="7" t="str">
        <x:v>["cloud_devops", "cybersecurity", "networks_systems"]</x:v>
      </x:c>
      <x:c r="M245" s="7" t="str">
        <x:v>["cloud_devops", "cybersecurity", "networks_systems"]</x:v>
      </x:c>
      <x:c r="N245" s="7" t="str">
        <x:v>["cybersecurity"]</x:v>
      </x:c>
      <x:c r="O245" s="7" t="str">
        <x:v>["esco", "description"]</x:v>
      </x:c>
      <x:c r="P245" s="7" t="str">
        <x:v>[]</x:v>
      </x:c>
      <x:c r="Q245" s="8" t="str">
        <x:v>yes</x:v>
      </x:c>
      <x:c r="R245" s="8" t="str">
        <x:v>no</x:v>
      </x:c>
      <x:c r="S245" s="8" t="str">
        <x:v>yes</x:v>
      </x:c>
      <x:c r="T245" s="7" t="str">
        <x:v>Γενικός IT technician: η κατηγορία cybersecurity δεν τεκμηριώνεται ως κύρια· προτείνεται networks/systems.</x:v>
      </x:c>
    </x:row>
    <x:row r="246">
      <x:c r="A246" s="5" t="str">
        <x:v>other_technical</x:v>
      </x:c>
      <x:c r="B246" s="5" t="str">
        <x:v>27676556</x:v>
      </x:c>
      <x:c r="C246" s="7" t="str">
        <x:v>Junior IT Support Technician (M/F)</x:v>
      </x:c>
      <x:c r="D246" s="7" t="str">
        <x:v>Your daily life As part of the ramp-up of our IT Service Center located in Roanne, we are looking for an IT Support Technician to strengthen our teams. You will work on a daily basis with key account clients, within structured environments with high operational challenges. This mission constitutes an opportunity for learning and progression, with technical and methodological support promoting autonomy and professional development. Your main missions: User assistance and support Reception and qualification of user requests (telephone, ticketing tools). Remote support on Windows and Linux environments. Diagnosis and resolution of incidents related to workstations, access and network issues. Supporting users in a service and educational approach. Operational monitoring and quality of service Incident management and traceability via ITSM tools (GLPI, ServiceNow). Contribution to the drafting of guides, operating procedures and procedures. Participation in reporting, supervision and monitoring actions. Compliance with SLAs and monitoring of performance indicators (KPI: processing times, quality of service, user satisfaction). Expertise and technical environment Good knowledge of Windows environments (7, 10, 11) and notions of Linux. Networking basics: DNS, DHCP, VPN. Sensitivity to workstation security issues. Experience or familiarity with ticket management tools (GLPI, ServiceNow). Ability to formalize clear procedures for users. Training in IT at Bac to Bac+2 level (BTS, DUT, equivalent qualification) or comparable professional experience. Beginner profiles are accepted if they demonstrate motivation and seriousness.</x:v>
      </x:c>
      <x:c r="E246" s="5" t="str">
        <x:v>222000.0</x:v>
      </x:c>
      <x:c r="F246" s="5" t="str">
        <x:v>f8ab2e08-d14e-4938-a2cd-c04821556db7</x:v>
      </x:c>
      <x:c r="G246" s="7" t="str">
        <x:v>["arrange surgery operating site", "assess quality of services", "manage personal professional development", "monitor developments in field of expertise", "supervision of persons", "use ICT ticketing system"]</x:v>
      </x:c>
      <x:c r="H246" s="7" t="str">
        <x:v>[]</x:v>
      </x:c>
      <x:c r="I246" s="7" t="str">
        <x:v>[]</x:v>
      </x:c>
      <x:c r="J246" s="7" t="str">
        <x:v>[]</x:v>
      </x:c>
      <x:c r="K246" s="7" t="str">
        <x:v>["networks_systems"]</x:v>
      </x:c>
      <x:c r="L246" s="7" t="str">
        <x:v>["networks_systems"]</x:v>
      </x:c>
      <x:c r="M246" s="7" t="str">
        <x:v>["networks_systems"]</x:v>
      </x:c>
      <x:c r="N246" s="7" t="str">
        <x:v>["networks_systems"]</x:v>
      </x:c>
      <x:c r="O246" s="7" t="str">
        <x:v>["title", "description"]</x:v>
      </x:c>
      <x:c r="P246" s="7" t="str">
        <x:v>[]</x:v>
      </x:c>
      <x:c r="Q246" s="8" t="str">
        <x:v>yes</x:v>
      </x:c>
      <x:c r="R246" s="8" t="str">
        <x:v>yes</x:v>
      </x:c>
      <x:c r="S246" s="8" t="str">
        <x:v>yes</x:v>
      </x:c>
      <x:c r="T246" s="7" t="str">
        <x:v>Reviewed against title, duties, mapped skills and detection sources.</x:v>
      </x:c>
    </x:row>
    <x:row r="247">
      <x:c r="A247" s="5" t="str">
        <x:v>other_technical</x:v>
      </x:c>
      <x:c r="B247" s="5" t="str">
        <x:v>27956714</x:v>
      </x:c>
      <x:c r="C247" s="7" t="str">
        <x:v>Technicien.ne support IT N1/ N2 - CDD - Vernon (27) (H/F)</x:v>
      </x:c>
      <x:c r="D247" s="7" t="str">
        <x:v>Who are we ? For more than 20 years, Artemys Normandie has been supporting companies throughout the Normandy region in their digital transformation challenges. Expertise in IT: Systems Infrastructure, Cloud DevOps, Modern Workplace &amp; End-User Services. Our presence: Rouen, Le Havre, Caen, and beyond Normandy, particularly in Rennes - A Services Center located in the heart of Isneauville (76) also allows us to deliver services in 24/7/365 mode dedicated to user support and the management of IT infrastructures 200 employees | 21MEUR CA (2024) Find out more: https://www.linkedin.com/company/artemys-normandie | www.groupeartemys.com IT support technician N1/N2 (CDD) Location: Vernon (27) Working mode: Face-to-face Start date: As soon as possible Duration of mission: 1 month renewable Salary range: Between 24K and 26KEUR Your mission (if you accept): We are now recruiting an IT support technician N1/N2 on a fixed-term contract. In this new stage of your career, we offer you the opportunity to work on great missions with a major account client located near Vernon (27) where you will have the opportunity to: - Receive and resolve incidents and user requests for two sites in France remotely and nearby, as well as two international sites remotely: Taking into account incidents and user requests by telephone or email Qualification of incidents and pre-diagnosis Resolution of incidents remotely/proximity, transfer to the department concerned or escalation to the levels senior technical staff - Manage the IT fleet: Deployment of new workstations, monitoring of deployment, Provision of new machines to users Management of equipment stock, inventory management, management of equipment allocations) Management of the IT station stock: preparation and installation of workstations (mastering, deployment, etc.) - Participate in projects with the IT team Will you thrive in this position?? Holder of a Bac+2 level diploma/title in IT, you have 2 years' experience in a similar position. If you are recognized for your rigor, your team spirit and your sense of service, is this position perfect for you?! Your playground?: Microsoft Windows 10/11 Supervision Nagios/Grafana TeamViewer Windows file servers DFS Active directory ERP access As the position is in an international context, a minimum B2 level of English is required. Are you interested? Great! Here's what awaits you: A first HR exchange to get to know each other A technical interview, your future manager A salary proposal Without forgetting the little extras: SWILE Card (Restaurant and CE Tickets), Mutual So, does this tempt you? Let's go!?Welcome to the ARTEMYS adventure Artemys Normandie is a disabled-friendly company committed to the diversity and diversity of the profiles recruited.? Contacts: recruitment-normandie[a]artemys.com | www.groupeartemys.com/poste</x:v>
      </x:c>
      <x:c r="E247" s="5" t="str">
        <x:v>23500.0</x:v>
      </x:c>
      <x:c r="F247" s="5" t="str">
        <x:v>3e7bf729-4442-4b9f-ad5e-83111963795c</x:v>
      </x:c>
      <x:c r="G247" s="7" t="str">
        <x:v>["DevOps", "handle incidents", "solution deployment"]</x:v>
      </x:c>
      <x:c r="H247" s="7" t="str">
        <x:v>["DevOps"]</x:v>
      </x:c>
      <x:c r="I247" s="7" t="str">
        <x:v>[]</x:v>
      </x:c>
      <x:c r="J247" s="7" t="str">
        <x:v>["cloud_devops"]</x:v>
      </x:c>
      <x:c r="K247" s="7" t="str">
        <x:v>[]</x:v>
      </x:c>
      <x:c r="L247" s="7" t="str">
        <x:v>["cloud_devops"]</x:v>
      </x:c>
      <x:c r="M247" s="7" t="str">
        <x:v>["cloud_devops"]</x:v>
      </x:c>
      <x:c r="N247" s="7" t="str">
        <x:v>["cloud_devops"]</x:v>
      </x:c>
      <x:c r="O247" s="7" t="str">
        <x:v>["esco", "description"]</x:v>
      </x:c>
      <x:c r="P247" s="7" t="str">
        <x:v>[]</x:v>
      </x:c>
      <x:c r="Q247" s="8" t="str">
        <x:v>yes</x:v>
      </x:c>
      <x:c r="R247" s="8" t="str">
        <x:v>no</x:v>
      </x:c>
      <x:c r="S247" s="8" t="str">
        <x:v>yes</x:v>
      </x:c>
      <x:c r="T247" s="7" t="str">
        <x:v>IT support N1/N2: προτείνεται networks/systems αντί cloud/DevOps.</x:v>
      </x:c>
    </x:row>
    <x:row r="248">
      <x:c r="A248" s="5" t="str">
        <x:v>other_technical</x:v>
      </x:c>
      <x:c r="B248" s="5" t="str">
        <x:v>203TYTF</x:v>
      </x:c>
      <x:c r="C248" s="7" t="str">
        <x:v>IT support technician (M/F)</x:v>
      </x:c>
      <x:c r="D248" s="7" t="str">
        <x:v>Manpower Digital is looking for, on behalf of its client, 1 M/F Traveling Network Technician in Dijon. This mission takes place in an environment oriented towards work management and network infrastructure. Company operating in the wholesale trade of computers, peripheral computer equipment and software, offering innovative technical solutions adapted to its customers. Main missions (Scope of activity): You will be responsible for monitoring and managing cabling work services: -Write technical specifications following the expression of the needs of the different sites. -Communicate regularly with site contacts and external service providers. -Organize and carry out pre-field visits with service providers to assess feasibility and technical constraints. -Analyze quotes and propose relevant technical recommendations. -Plan, coordinate and monitor the cabling work (fiber and copper) carried out by the selected service provider (site visit). -Check the conformity of the services provided once the work is completed. -Prepare technical acceptance reports (PV). -Manage the project as a whole: conducting meetings, managing escalations, monitoring files and respecting the deadline/budget/quality triangle. -This is a piloting mission including a technical component. You will not have to configure the terminals (centralized management) or physically install them. -Support is provided during the first visits before becoming completely independent. -Ensure supervision of the network infrastructure -Install and maintain switching equipment on the institutional IP network (routers and switches) -Maintenance of radio bays, technical incident management, migration of equipment to IP, radio network deployment and user support. -You are a rigorous, organized person recognized for your autonomy as well as your ability to be in the field. -You have significant experience in monitoring and managing cabling work services. -In-depth knowledge of networks and cabling is necessary to understand the need, establish the CCTP, configure the equipment and understand the quotes received. -A clearance is required for the position due to the sensitive nature of the intervention sites. If your application has caught our attention for this position, here are the stages of the recruitment process: -A preliminary telephone exchange -An interview with one of our Talent Agents -If necessary, typical targeted assessments (technical, personality, etc.) -An interview with the client We ensure the management of your mission for a successful journey: Training, Security awareness, administrative management, etc.</x:v>
      </x:c>
      <x:c r="E248" s="5" t="str">
        <x:v>30000.0</x:v>
      </x:c>
      <x:c r="F248" s="5" t="str">
        <x:v>aaeec9a7-dc57-4485-890c-86b3eef735f9</x:v>
      </x:c>
      <x:c r="G248" s="7" t="str">
        <x:v>["authoring software", "configure electronic equipment", "develop security concepts", "explain characteristics of computer peripheral equipment", "manage administrative systems", "organise project meetings", "outsourcing strategy", "recruit personnel", "theory of constraints"]</x:v>
      </x:c>
      <x:c r="H248" s="7" t="str">
        <x:v>[]</x:v>
      </x:c>
      <x:c r="I248" s="7" t="str">
        <x:v>[]</x:v>
      </x:c>
      <x:c r="J248" s="7" t="str">
        <x:v>[]</x:v>
      </x:c>
      <x:c r="K248" s="7" t="str">
        <x:v>["networks_systems"]</x:v>
      </x:c>
      <x:c r="L248" s="7" t="str">
        <x:v>[]</x:v>
      </x:c>
      <x:c r="M248" s="7" t="str">
        <x:v>["networks_systems"]</x:v>
      </x:c>
      <x:c r="N248" s="7" t="str">
        <x:v>["networks_systems"]</x:v>
      </x:c>
      <x:c r="O248" s="7" t="str">
        <x:v>["title"]</x:v>
      </x:c>
      <x:c r="P248" s="7" t="str">
        <x:v>[]</x:v>
      </x:c>
      <x:c r="Q248" s="8" t="str">
        <x:v>yes</x:v>
      </x:c>
      <x:c r="R248" s="8" t="str">
        <x:v>yes</x:v>
      </x:c>
      <x:c r="S248" s="8" t="str">
        <x:v>yes</x:v>
      </x:c>
      <x:c r="T248" s="7" t="str">
        <x:v>Reviewed against title, duties, mapped skills and detection sources.</x:v>
      </x:c>
    </x:row>
    <x:row r="249">
      <x:c r="A249" s="5" t="str">
        <x:v>other_technical</x:v>
      </x:c>
      <x:c r="B249" s="5" t="str">
        <x:v>001594</x:v>
      </x:c>
      <x:c r="C249" s="7" t="str">
        <x:v>Experienced Developer "Java OR C#" &amp; React @ Banking Sector M/F</x:v>
      </x:c>
      <x:c r="D249" s="7" t="str">
        <x:v>The company supported and the missions: The company: French company, with nearly 2,000 employees. It supports its clients in their digital transformation projects by combining varied expertise, particularly in finance, data, artificial intelligence and digital creation. As part of a large French group specializing in data management and digital transformation, this company benefits from a privileged positioning which allows it to offer innovative, secure solutions adapted to regulatory requirements, while placing people and proximity at the heart of its support. The position: Participate in the application design of an innovative web solution Develop the code and ensure its quality Implement and maintain unit tests Contribute to DevOps activities to guarantee the performance and reliability of deployments Technical environment: Back-end: Java or .NET Front-end: React Openshift (Kubernetes and Docker), SQL, Jenkins and XL Deploy Profile: - Experience of at least 6 years in a similar position in the banking/finance sector (MANDATORY) - Available ASAP - Advanced mastery of our client's stack. - Knowledge of issues related to risk management - Level of operational English, both written and oral. Advantages: Working conditions: Teleworking on average 2 to 3 days/week Remuneration: Package between 60 and 70K€ Close support from a manager from the technical field A personalized career plan (technical expertise, management, MOA, project management, etc.) Professional development through training/certifications, knowledge sharing (technical communities, Devoxx, Agile tour) The process: Firm: First exchange with Clayton GENTRIC or Kévin LE BIHAN Second telephone exchange with the client (Recruitment Manager) Third technical exchange with the client (Operational Manager) Validation and Offer</x:v>
      </x:c>
      <x:c r="E249" s="5" t="str">
        <x:v>65000.0</x:v>
      </x:c>
      <x:c r="F249" s="5" t="str">
        <x:v>2ed56c3f-61d6-4f7e-9ef8-8849eb102e4c</x:v>
      </x:c>
      <x:c r="G249" s="7" t="str">
        <x:v>["Jenkins (tools for software configuration management)", "SQL", "conduct continuing professional development workshops", "develop digital content", "perform project management", "perform quality audits"]</x:v>
      </x:c>
      <x:c r="H249" s="7" t="str">
        <x:v>["Jenkins (tools for software configuration management)", "SQL"]</x:v>
      </x:c>
      <x:c r="I249" s="7" t="str">
        <x:v>[]</x:v>
      </x:c>
      <x:c r="J249" s="7" t="str">
        <x:v>["cloud_devops", "data_analysis"]</x:v>
      </x:c>
      <x:c r="K249" s="7" t="str">
        <x:v>[]</x:v>
      </x:c>
      <x:c r="L249" s="7" t="str">
        <x:v>["ai_ml", "software", "cloud_devops"]</x:v>
      </x:c>
      <x:c r="M249" s="7" t="str">
        <x:v>["ai_ml", "cloud_devops", "data_analysis", "software"]</x:v>
      </x:c>
      <x:c r="N249" s="7" t="str">
        <x:v>["cloud_devops"]</x:v>
      </x:c>
      <x:c r="O249" s="7" t="str">
        <x:v>["esco", "description"]</x:v>
      </x:c>
      <x:c r="P249" s="7" t="str">
        <x:v>[]</x:v>
      </x:c>
      <x:c r="Q249" s="8" t="str">
        <x:v>yes</x:v>
      </x:c>
      <x:c r="R249" s="8" t="str">
        <x:v>no</x:v>
      </x:c>
      <x:c r="S249" s="8" t="str">
        <x:v>yes</x:v>
      </x:c>
      <x:c r="T249" s="7" t="str">
        <x:v>Java/C#/React developer: λείπει η κύρια κατηγορία software.</x:v>
      </x:c>
    </x:row>
    <x:row r="250">
      <x:c r="A250" s="5" t="str">
        <x:v>other_technical</x:v>
      </x:c>
      <x:c r="B250" s="5" t="str">
        <x:v>27687187</x:v>
      </x:c>
      <x:c r="C250" s="7" t="str">
        <x:v>Sales Security Engineer - F/M</x:v>
      </x:c>
      <x:c r="D250" s="7" t="str">
        <x:v>Horoquartz is a software publisher and integrator that helps you build a healthy and lasting business-employee relationship. Every day, we support our 5,000 customers through 2 closely linked professions: Time management, schedules and activities, with our eTemptation software suite Safety and security, with our global solution Protecsys 2 Suite Every day, 4 million employees are managed by our solutions, from SMEs to Large Accounts, in all sectors of activity. Do you want to join a French player who designs and manufactures its own security solutions? Are you looking for a team on a human scale, united, where we move forward together? Do you like challenges in technical environments with high added value? Then you may be our future Sales Engineer! Your missions: Business development: - Identify new opportunities and develop the customer portfolio (SMEs, large accounts, communities). - Ensure loyalty by cultivating a long-term relationship of trust. - Qualify needs and propose the most relevant solutions (consulting approach). Construction of offers: - Develop commercial proposals in conjunction with the technical teams. - Manage the sales cycle from A to Z until signature. Calls for tenders and negotiation: - Coordinate the response to public and private calls for tenders. - Negotiate commercial conditions within a logic of sustainable partnership. Monitoring and representation: - Ensure active monitoring of the market (trends, competitors, innovations). - Participate in trade shows, professional events and customer meetings to represent HOROQUARTZ. CSR commitment: - Be an actor in our Quality, Hygiene, Safety, Environment and Social Responsibility approach. Your sector: 58,71,03,42,69,63,43,07 Remuneration: 40/50 KE fixed depending on experience + Variable remuneration. All our offers are open to people with disabilities. - You have solid experience in long-cycle B2B sales on security solutions. - You are autonomous, results-oriented and you know how to create a real relationship of trust with your customers. - You like working in a team, you adapt quickly, and know how to take initiative and are perseverant. Our advantages: - Teleworking: 8 days/month after 6 months of seniority - Ticket Restaurant card: 10 EUR/day - RTT: so you can rest - Interest and participation: your results count - Co-optation bonus: 2,000 EUR for each recommended profile - Active CSE: holiday vouchers and other benefits - Prospects for advancement within a solid group Recruitment process, an HR interview with Thomas, our recruitment manager then an interview with the sales manager, Jean-Philippe.</x:v>
      </x:c>
      <x:c r="E250" s="5" t="str">
        <x:v>47500.0</x:v>
      </x:c>
      <x:c r="F250" s="5" t="str">
        <x:v>8529edc5-96ad-4cde-b34a-f86ad3753e4d</x:v>
      </x:c>
      <x:c r="G250" s="7" t="str">
        <x:v>["coordinate security", "hygiene in a health care setting", "maintain relationship with customers", "plan presence at professional events", "promote health and safety", "provide ICT consulting advice", "show initiative"]</x:v>
      </x:c>
      <x:c r="H250" s="7" t="str">
        <x:v>[]</x:v>
      </x:c>
      <x:c r="I250" s="7" t="str">
        <x:v>["show initiative"]</x:v>
      </x:c>
      <x:c r="J250" s="7" t="str">
        <x:v>[]</x:v>
      </x:c>
      <x:c r="K250" s="7" t="str">
        <x:v>["cybersecurity"]</x:v>
      </x:c>
      <x:c r="L250" s="7" t="str">
        <x:v>[]</x:v>
      </x:c>
      <x:c r="M250" s="7" t="str">
        <x:v>["cybersecurity"]</x:v>
      </x:c>
      <x:c r="N250" s="7" t="str">
        <x:v>["cybersecurity"]</x:v>
      </x:c>
      <x:c r="O250" s="7" t="str">
        <x:v>["title"]</x:v>
      </x:c>
      <x:c r="P250" s="7" t="str">
        <x:v>["initiative_responsibility"]</x:v>
      </x:c>
      <x:c r="Q250" s="8" t="str">
        <x:v>yes</x:v>
      </x:c>
      <x:c r="R250" s="8" t="str">
        <x:v>yes</x:v>
      </x:c>
      <x:c r="S250" s="8" t="str">
        <x:v>yes</x:v>
      </x:c>
      <x:c r="T250" s="7" t="str">
        <x:v>Reviewed against title, duties, mapped skills and detection sources.</x:v>
      </x:c>
    </x:row>
    <x:row r="251">
      <x:c r="A251" s="5" t="str">
        <x:v>other_technical</x:v>
      </x:c>
      <x:c r="B251" s="5" t="str">
        <x:v>204DNTD</x:v>
      </x:c>
      <x:c r="C251" s="7" t="str">
        <x:v>Systems and network administrator (M/F)</x:v>
      </x:c>
      <x:c r="D251" s="7" t="str">
        <x:v>The context of the position As part of the strengthening of our IT and telecom division and the structuring of our IP telephony offer, we are looking for a Systems and Network Administrator to join our technical team. This recruitment comes in a context of growth in our activity with our 1,500 clients in Burgundy-Franche-Comté and is part of a dynamic of modernization of our IT and telecommunications services. The mission Within the IT and telecoms technical department, you carry out the following missions. Your main missions Telephony &amp; Networks: * Installation and configuration of IP telephony solutions (3CX, centrex) * Configuration of network equipment (switches, routers, firewalls) * Monitoring of deployments and incidents linked to operators * VoIP technical support and telecom troubleshooting * Management of SIP, QoS and network segmentation issues IT: * Intervention on the client IT environment (workstations, Wi-Fi, network segmentation) * Skill development towards administration system (Active Directory, virtualization) * Level 1 and 2 technical support Customer relations &amp; Documentation: * Participation in technical projects (pre-sales audit, deployment, user training) * Daily customer support * Writing intervention reports * Training of end users Beyond diplomas, we are looking for a profile who wants to evolve and learn! Training &amp; Experience * Bac+2 training in IT, networks and/or telecommunications (or equivalent by experience) * 1-2 years of experience in systems and network administration / IP telephony / VoIP (motivated beginner accepted if technical profile) * Experience with similar 3CX or IPBX solutions would be a plus Technical skills * Network knowledge: LAN, WAN, VLAN, VPN, SIP protocol * IP telephony / VoIP: configuration, troubleshooting * Network equipment: switches, routers, firewalls * IT basics: Windows, AD, workstations * Mastery of 3CX is an asset but we train! Personal qualities * Sense of service: your absolute priority * Rigor and organization: essential * Curiosity and dynamism * Good interpersonal skills and kindness (internally and with customers) * Team spirit and ability to adapt * Autonomy and taking initiative If you have questions... It's a good sign! Come have a coffee and talk about it, it’s no obligation! Remuneration based on profile. Very good mutual insurance Meal vouchers/basket bonuses Laptop/telephone Outsourced CSE Service car</x:v>
      </x:c>
      <x:c r="E251" s="5" t="str">
        <x:v>30500.0</x:v>
      </x:c>
      <x:c r="F251" s="5" t="str">
        <x:v>9e2e6e1e-363b-4e1b-a673-7bc0f7343300</x:v>
      </x:c>
      <x:c r="G251" s="7" t="str">
        <x:v>["define firewall rules", "solution deployment", "telecommunication industry"]</x:v>
      </x:c>
      <x:c r="H251" s="7" t="str">
        <x:v>[]</x:v>
      </x:c>
      <x:c r="I251" s="7" t="str">
        <x:v>[]</x:v>
      </x:c>
      <x:c r="J251" s="7" t="str">
        <x:v>[]</x:v>
      </x:c>
      <x:c r="K251" s="7" t="str">
        <x:v>["networks_systems"]</x:v>
      </x:c>
      <x:c r="L251" s="7" t="str">
        <x:v>["networks_systems"]</x:v>
      </x:c>
      <x:c r="M251" s="7" t="str">
        <x:v>["networks_systems"]</x:v>
      </x:c>
      <x:c r="N251" s="7" t="str">
        <x:v>["networks_systems"]</x:v>
      </x:c>
      <x:c r="O251" s="7" t="str">
        <x:v>["title", "description"]</x:v>
      </x:c>
      <x:c r="P251" s="7" t="str">
        <x:v>[]</x:v>
      </x:c>
      <x:c r="Q251" s="8" t="str">
        <x:v>yes</x:v>
      </x:c>
      <x:c r="R251" s="8" t="str">
        <x:v>yes</x:v>
      </x:c>
      <x:c r="S251" s="8" t="str">
        <x:v>yes</x:v>
      </x:c>
      <x:c r="T251" s="7" t="str">
        <x:v>Reviewed against title, duties, mapped skills and detection sources.</x:v>
      </x:c>
    </x:row>
    <x:row r="252">
      <x:c r="A252" s="5" t="str">
        <x:v>ai_ml</x:v>
      </x:c>
      <x:c r="B252" s="5" t="str">
        <x:v>27707816</x:v>
      </x:c>
      <x:c r="C252" s="7" t="str">
        <x:v>Expert IA Generative F/H</x:v>
      </x:c>
      <x:c r="D252" s="7" t="str">
        <x:v>The Consulting &amp; Expertise agency is a transversal entity at the regional level composed exclusively of Managers and Experts. Our different roles, serving other agencies, are based around our 5 pillars: securing delivery, leading experts, pre-sales support, innovation and evangelization. Within this agency, you will occupy the position of Data Science and Artificial Intelligence Expert Your role, based on the 5 pillars of the agency, will be: Carry out consulting and delivery missions Be able to design and build a project from the following elements: One or more Cloud environment(s) (Azure, GCP, AWS, ...) and associated services (Microsoft Fabric, VertexAI, ...) The principles of DevOps / MLOps / LLMOps / ... One or more languages / tools / services around Generative AI (Python, OpenAI, LangGraph, Qdrant, OpenWebUI, etc.) Advise in the choice of solutions and the creation of algorithms: costing, analysis of functional and technical impacts Coordinate teams and provide support to consultants Contribute to the animation of Experts Lead and actively participate in the development of the agency, in the sharing of good practices, knowledge and feedback for the benefit of employees Manage the increase in skills and the passage of offer certifications throughout the region Contribute to the recruitment of the division's teams Be in pre-sales support Detect commercial opportunities for the projects on which you will be involved Support salespeople during qualifications and responses to calls for tenders Contribute to the coherence and regional variation of partnerships with the technological partners of the IA Innovate offer Participate in the creation of regional or national offers Ensure constant monitoring of technological developments Build demonstrators highlighting our know-how Evangelize Represent Orange Business at various events: trade fairs, internal and external webinars Contribute to the writing of white papers, articles, etc. Lead seminars / customer committees in order to acculturate them on our offers Bac+5 IT training, you have at least 8 years of experience in the implementation of AI projects You have strong leadership in order to provide a vision around the Generative AI offer You have several significant experiences around generative AI You feel like a conductor who facilitates interactions and encourages team dynamics by getting personally involved when necessary Attached to the principles of ethical AI, you are able to advise the management of operational and strategic aspects of the use of AI in an organization</x:v>
      </x:c>
      <x:c r="E252" s="5" t="str">
        <x:v>50000.0</x:v>
      </x:c>
      <x:c r="F252" s="5" t="str">
        <x:v>e297ec12-4712-40a4-ad98-ba004cacb205</x:v>
      </x:c>
      <x:c r="G252" s="7" t="str">
        <x:v>["DevOps", "innovation processes"]</x:v>
      </x:c>
      <x:c r="H252" s="7" t="str">
        <x:v>["DevOps"]</x:v>
      </x:c>
      <x:c r="I252" s="7" t="str">
        <x:v>["innovation processes"]</x:v>
      </x:c>
      <x:c r="J252" s="7" t="str">
        <x:v>["cloud_devops"]</x:v>
      </x:c>
      <x:c r="K252" s="7" t="str">
        <x:v>["ai_ml"]</x:v>
      </x:c>
      <x:c r="L252" s="7" t="str">
        <x:v>["ai_ml", "data_analysis", "cloud_devops"]</x:v>
      </x:c>
      <x:c r="M252" s="7" t="str">
        <x:v>["ai_ml", "cloud_devops", "data_analysis"]</x:v>
      </x:c>
      <x:c r="N252" s="7" t="str">
        <x:v>["ai_ml", "cloud_devops"]</x:v>
      </x:c>
      <x:c r="O252" s="7" t="str">
        <x:v>["esco", "title", "description"]</x:v>
      </x:c>
      <x:c r="P252" s="7" t="str">
        <x:v>["creativity"]</x:v>
      </x:c>
      <x:c r="Q252" s="8" t="str">
        <x:v>yes</x:v>
      </x:c>
      <x:c r="R252" s="8" t="str">
        <x:v>yes</x:v>
      </x:c>
      <x:c r="S252" s="8" t="str">
        <x:v>yes</x:v>
      </x:c>
      <x:c r="T252" s="7" t="str">
        <x:v>Reviewed against title, duties, mapped skills and detection sources.</x:v>
      </x:c>
    </x:row>
    <x:row r="253">
      <x:c r="A253" s="5" t="str">
        <x:v>ai_ml</x:v>
      </x:c>
      <x:c r="B253" s="5" t="str">
        <x:v>001245</x:v>
      </x:c>
      <x:c r="C253" s="7" t="str">
        <x:v>Lead Tech Django H/F @IA &amp; Data</x:v>
      </x:c>
      <x:c r="D253" s="7" t="str">
        <x:v>The company supported and the missions: Join an innovative company specializing in the design and deployment of artificial intelligence and industrial data analysis solutions. Its objective: to help industry players better exploit their data to optimize their operations, reduce their costs and improve their performance. Thanks to strong expertise in AI, data engineering and software development, this company collaborates with international clients on high-impact projects in the industrial and energy sector. Supported by Externatic, a specialized IT recruitment firm, it is now looking for a Django Tech Lead M/F to strengthen its software engineering department. Your missions / Roles As a Tech Lead, you will play a key role in the design, structuring and evolution of an artificial intelligence SaaS platform for industrial teams. Your main responsibilities: Lead the technical design of new backend modules in Python / Django. Supervise a team of developers and support them in increasing their skills. Guarantee code quality, robustness and maintainability of applications (tests, CI/CD, good development practices). Collaborate with product, data science and front-end teams to ensure overall technical consistency. Actively participate in architecture choices and the implementation of DevOps best practices (Docker, Kubernetes, AWS). Contribute to the continuous improvement of the performance, security and scalability of solutions. Profile: You have a higher education degree in IT (engineering school or university equivalent). You have solid experience (5 years minimum) in Python backend development, necessarily on the Django framework. You have already taken on the role of technical referent or lead developer, and enjoy managing a team while remaining involved in the code. You are familiar with cloud environments (AWS, Azure or equivalent), containers (Docker, Kubernetes) and continuous integration tools (GitLab CI, Terraform, etc.). You are sensitive to software quality, clean code, automated tests and documentation. Good level of technical English required. The +: - Adapt dynamically to the changing context of projects. - Positive spirit and ability to create a caring and team-oriented work environment. Advantages: Working Conditions and Benefits Attractive remuneration depending on profile: 60 to 70 K€ depending on experience. Permanent position, based in Paris – Montparnasse district, easily accessible by public transport. Flexible teleworking several days a week. Passionate team and stimulating projects around AI and industrial data. Active participation in high-impact projects and real-world technical challenges. The recruitment process E1 with Kévin from Externatic E2 with the HR team E3 Test and debrief with the operational team E4 with one or more founders to validate the application.</x:v>
      </x:c>
      <x:c r="E253" s="5" t="str">
        <x:v>65000.0</x:v>
      </x:c>
      <x:c r="F253" s="5" t="str">
        <x:v>b1c80369-067e-4041-84c8-dbe65640a5d8</x:v>
      </x:c>
      <x:c r="G253" s="7" t="str">
        <x:v>["coordinate security", "data engineering", "data science", "interpret technical texts", "provide user documentation"]</x:v>
      </x:c>
      <x:c r="H253" s="7" t="str">
        <x:v>["data engineering", "data science"]</x:v>
      </x:c>
      <x:c r="I253" s="7" t="str">
        <x:v>[]</x:v>
      </x:c>
      <x:c r="J253" s="7" t="str">
        <x:v>["data_analysis", "data_engineering"]</x:v>
      </x:c>
      <x:c r="K253" s="7" t="str">
        <x:v>["ai_ml"]</x:v>
      </x:c>
      <x:c r="L253" s="7" t="str">
        <x:v>["ai_ml", "data_analysis", "data_engineering", "software", "cloud_devops"]</x:v>
      </x:c>
      <x:c r="M253" s="7" t="str">
        <x:v>["ai_ml", "cloud_devops", "data_analysis", "data_engineering", "software"]</x:v>
      </x:c>
      <x:c r="N253" s="7" t="str">
        <x:v>["ai_ml", "data_analysis", "data_engineering"]</x:v>
      </x:c>
      <x:c r="O253" s="7" t="str">
        <x:v>["esco", "title", "description"]</x:v>
      </x:c>
      <x:c r="P253" s="7" t="str">
        <x:v>[]</x:v>
      </x:c>
      <x:c r="Q253" s="8" t="str">
        <x:v>yes</x:v>
      </x:c>
      <x:c r="R253" s="8" t="str">
        <x:v>yes</x:v>
      </x:c>
      <x:c r="S253" s="8" t="str">
        <x:v>yes</x:v>
      </x:c>
      <x:c r="T253" s="7" t="str">
        <x:v>Reviewed against title, duties, mapped skills and detection sources.</x:v>
      </x:c>
    </x:row>
    <x:row r="254">
      <x:c r="A254" s="5" t="str">
        <x:v>ai_ml</x:v>
      </x:c>
      <x:c r="B254" s="5" t="str">
        <x:v>201RRWP</x:v>
      </x:c>
      <x:c r="C254" s="7" t="str">
        <x:v>Data Engineer IA H/F (H/F)</x:v>
      </x:c>
      <x:c r="D254" s="7" t="str">
        <x:v>Your role is divided into 4 missions. Construction and supply of the Data Factory: - Work with the business lines to fully understand the needs and imagine the corresponding architecture, - Propose and develop the different feed flows of the Data Factory under GCP and Azure (real time, batch, API), - Design and build data pipelines ensuring optimal data quality, Exploitation of data from the Data Factory and integration of AI tools - Contribute to the transformation of the company's Data, to the definition and implementation of different use cases, - Create data marts corresponding to business needs, - Disseminate data from Data marts via the Data Factory APIs to the various Club Med applications, - Maintain existing Machine Learning models (Tensorflow, Keras) in operational condition and develop new models based on use cases - Design applications based on LLM language models to respond to business AI use cases using open source tools such as Flowise, N8N, Langfuse or GPT type infrastructures. - Visualize and distribute Dashboards via data studio - Raise awareness of FinOps/GreenIT GCP and Azure Industrialization and automation of data pipelines - Ensure and improve the monitoring of the various already existing flows by implementing automation and industrialization processes. - Use DevOps tools (GitLab CI, Terraform, Bash) to automate and orchestrate data workflows. Technology monitoring and AI innovation - Participate in AI innovation - Explore and implement emerging open-source solutions in AI, notably Langfuse or Flowise, to capitalize on advances in language models (LLMs). - Carry out POCs on innovative solutions on the market, - Share new developments internally, particularly on GCP and Azure - Participate in the continuous improvement of the technological base of the Data Factory, with a strong emphasis on AI/LLM integration and intelligent automation. The desired profile Experience required: minimum 2 years in a position equivalent to DATA and AI. Diploma: Bac +5 in engineering school/university specializing in Computer Science and Data Management and Data Science Required skills: - Cloud architecture: Mastery of GCP environments (BigQuery, Pub/Sub, Cloud Functions, Vertex AI, Cloud Storage), Azure (Data Factory, ML Studio). GCP or Azure certification is an asset, - Data processing: Proven experience in the creation and management of data pipelines, ETL/ELT (Airflow, Prefect), - Languages: Excellent command of Python (particularly in OOP) and SQL. Knowledge of Bash and Unix would be a plus, - Machine Learning &amp; AI: Understanding of the basics of Machine Learning (classification, random forest, NLP) and ability to deploy or maintain models with TensorFlow, PyTorch or Keras, - AI/LLM integration: Familiarity with open-source tools like LangChain, N8N, Langfuse to implement applications based on LLMs, - Visualization: Capabilities to create interactive Dashboards in Data Studio and/or other BI tools (QlikView, Kibana is a plus), - Monitoring &amp; Orchestration: Experience with tools like Airflow, Prometheus, Grafana, Jenkins to supervise and automate workflows. - Agile methodology: Proven experience in agile methodologies (Scrum, sprint planning, retrospective). Soft Skills expected: - Listening skills to understand complex business needs, - Ability to collaborate with cross-functional teams, - Rigor and organization to evolve within a constantly evolving environment, - Ability to innovate and propose technical solutions adapted to AI challenges</x:v>
      </x:c>
      <x:c r="E254" s="5" t="str">
        <x:v>38000.0</x:v>
      </x:c>
      <x:c r="F254" s="5" t="str">
        <x:v>35553663-deab-4d9a-bf22-15c1625d28e8</x:v>
      </x:c>
      <x:c r="G254" s="7" t="str">
        <x:v>["Jenkins (tools for software configuration management)", "Python (computer programming)", "QlikView Expressor", "SQL", "analyse pipeline database information", "business requirements techniques", "data warehouse", "deliver visual presentation of data", "production engineering", "software design methodologies"]</x:v>
      </x:c>
      <x:c r="H254" s="7" t="str">
        <x:v>["Jenkins (tools for software configuration management)", "Python (computer programming)", "SQL", "analyse pipeline database information", "data warehouse"]</x:v>
      </x:c>
      <x:c r="I254" s="7" t="str">
        <x:v>[]</x:v>
      </x:c>
      <x:c r="J254" s="7" t="str">
        <x:v>["cloud_devops", "data_analysis", "data_engineering"]</x:v>
      </x:c>
      <x:c r="K254" s="7" t="str">
        <x:v>["ai_ml", "data_engineering"]</x:v>
      </x:c>
      <x:c r="L254" s="7" t="str">
        <x:v>["ai_ml", "data_analysis", "data_engineering", "cloud_devops"]</x:v>
      </x:c>
      <x:c r="M254" s="7" t="str">
        <x:v>["ai_ml", "cloud_devops", "data_analysis", "data_engineering"]</x:v>
      </x:c>
      <x:c r="N254" s="7" t="str">
        <x:v>["ai_ml", "data_analysis", "data_engineering", "cloud_devops"]</x:v>
      </x:c>
      <x:c r="O254" s="7" t="str">
        <x:v>["esco", "title", "description"]</x:v>
      </x:c>
      <x:c r="P254" s="7" t="str">
        <x:v>[]</x:v>
      </x:c>
      <x:c r="Q254" s="8" t="str">
        <x:v>yes</x:v>
      </x:c>
      <x:c r="R254" s="8" t="str">
        <x:v>yes</x:v>
      </x:c>
      <x:c r="S254" s="8" t="str">
        <x:v>yes</x:v>
      </x:c>
      <x:c r="T254" s="7" t="str">
        <x:v>Reviewed against title, duties, mapped skills and detection sources.</x:v>
      </x:c>
    </x:row>
    <x:row r="255">
      <x:c r="A255" s="5" t="str">
        <x:v>ai_ml</x:v>
      </x:c>
      <x:c r="B255" s="5" t="str">
        <x:v>200HCMG</x:v>
      </x:c>
      <x:c r="C255" s="7" t="str">
        <x:v>AI project manager (M/F)</x:v>
      </x:c>
      <x:c r="D255" s="7" t="str">
        <x:v>At Evoliz, we help thousands of small French businesses every day to better manage their business thanks to our SaaS software. After joining the Visma group, we are accelerating our internal transformation and looking to strengthen our organization with an experienced internal project manager, passionate about AI and change management. YOUR ROLE The position is attached to the Back Office team, but its mission is fully transversal. You will work in regular interaction with the CSO, the CMO, the CPTO and the Head of Customer Support, in order to orchestrate strategic projects involving the entire company. Reporting to management, you manage cross-functional strategic projects that move the company forward. Your mission revolves around 3 axes: - Accelerate the use of AI thanks to synergies with Visma - Be the Evoliz relay in the Visma group's AI network - Examine the practices, guides and tools already produced (playbooks, use cases, experts), and select the most relevant - Adapt these practices to the Evoliz context and manage their concrete implementation in the teams - Inspire and involve employees in effective and responsible use of AI - Support the rise in maturity of teams according to Visma standards (from bronze to platinum) - Participate in exchanges with other companies in the group (in English) to promote collaboration and transformation - Lead the internal club on the adoption of AI, in order to share good practices and encourage concrete use in all teams Internal projects - Structure and carry out cross-functional strategic projects. - Frame needs, organize resources, monitor progress and guarantee the quality of deliverables - Relieve operational staff by ensuring a real project management methodology Client projects - Be the preferred point of contact with certain strategic clients. - Coordinate exchanges between the client and our internal teams (Product, Sales, Marketing, etc.) THE PROFILE WANTED - You are results-oriented, structured, with a real ability to "get things done". - You know how to work cross-functionally and create a collaborative dynamic with varied teams. - You are curious and passionate about the concrete applications of AI in businesses. - You have a good understanding of business issues and know how to popularize technological solutions. - You are comfortable communicating with customers. - Fluent English required (numerous interactions with Visma companies, mainly in Northern Europe). WHY JOIN US? A central and strategic role in the evolution of Evoliz. The opportunity to transform a company already engaged in AI into an even more efficient organization. Access to an international ecosystem (Visma), rich in innovations and inspirations. A caring, demanding and collaborative team. A growing company, integrated into Visma, European leader in SaaS software. Simple and quick recruitment process: HR exchange → manager interview → practical case → team meeting.</x:v>
      </x:c>
      <x:c r="E255" s="5" t="str">
        <x:v>47500.0</x:v>
      </x:c>
      <x:c r="F255" s="5" t="str">
        <x:v>bea99fea-0383-4c63-b944-70d4799de2c5</x:v>
      </x:c>
      <x:c r="G255" s="7" t="str">
        <x:v>["apply change management", "sales activities"]</x:v>
      </x:c>
      <x:c r="H255" s="7" t="str">
        <x:v>[]</x:v>
      </x:c>
      <x:c r="I255" s="7" t="str">
        <x:v>[]</x:v>
      </x:c>
      <x:c r="J255" s="7" t="str">
        <x:v>[]</x:v>
      </x:c>
      <x:c r="K255" s="7" t="str">
        <x:v>["ai_ml"]</x:v>
      </x:c>
      <x:c r="L255" s="7" t="str">
        <x:v>[]</x:v>
      </x:c>
      <x:c r="M255" s="7" t="str">
        <x:v>["ai_ml"]</x:v>
      </x:c>
      <x:c r="N255" s="7" t="str">
        <x:v>["ai_ml"]</x:v>
      </x:c>
      <x:c r="O255" s="7" t="str">
        <x:v>["title"]</x:v>
      </x:c>
      <x:c r="P255" s="7" t="str">
        <x:v>[]</x:v>
      </x:c>
      <x:c r="Q255" s="8" t="str">
        <x:v>yes</x:v>
      </x:c>
      <x:c r="R255" s="8" t="str">
        <x:v>yes</x:v>
      </x:c>
      <x:c r="S255" s="8" t="str">
        <x:v>yes</x:v>
      </x:c>
      <x:c r="T255" s="7" t="str">
        <x:v>Reviewed against title, duties, mapped skills and detection sources.</x:v>
      </x:c>
    </x:row>
    <x:row r="256">
      <x:c r="A256" s="5" t="str">
        <x:v>ai_ml</x:v>
      </x:c>
      <x:c r="B256" s="5" t="str">
        <x:v>m6huzimek8</x:v>
      </x:c>
      <x:c r="C256" s="7" t="str">
        <x:v>Data &amp; AI Business Engineer Luxury Sector M/F</x:v>
      </x:c>
      <x:c r="D256" s="7" t="str">
        <x:v>RESPONSIBILITIES: As a Data &amp; AI Business Engineer in the Luxury sector M/F you will be responsible for: • Creating and developing new business relationships with potential clients and strategic partners in the Luxury sector • Identifying and exploring new market opportunities for our products and services • Working closely with our internal teams to develop tailor-made solutions for our clients in the Luxury sector • Forecasting trends in the Luxury market and anticipating customer needs to shape our growth strategy • Represent JEMS at events, conferences and meetings to expand our network and strengthen our market presence • Keep an eye on the competition and develop strategies to stay ahead Benefits of working at JEMS: • Personalized support to develop your career • The opportunity to work in a dynamic and stimulating environment • A company culture that encourages creativity, innovation and personal growth • A competitive remuneration package with exceptional benefits • Ongoing support to develop your skills and advance in your career • Unforgettable integration seminars To Apply If you are ready to take on the challenge and become a key player in our team as a Business Engineer at JEMS, send us your CV accompanied by a convincing cover letter that shows why you are the ideal person for this position. Show us your passion, your determination and your vision for the future. Diversity The JEMS Group proudly carries its “Diversity” value by mobilizing for inclusion and equal opportunities and by fighting against all forms of discrimination. All our positions are open to people with disabilities. At JEMS, we believe that the best candidates are those who share our passion for innovation and our commitment to excellence. Join our team and get ready to change the game! PROFILE WANTED: Your skills • A bold and creative mind, ready to push boundaries and explore new territories • A passion for sales, negotiation and creating strong partnerships • A deep understanding of market trends in our industry and in Luxury • Excellent communication skills and an ability to work effectively in a team • A fearless attitude and determination to achieve ambitious goals Your profile You are a graduate of an engineering school or a technical university course. You have successful commercial professional experience in the Luxury sector. Fluency in English is essential.</x:v>
      </x:c>
      <x:c r="E256" s="5" t="str">
        <x:v>52500.0</x:v>
      </x:c>
      <x:c r="F256" s="5" t="str">
        <x:v>8529edc5-96ad-4cde-b34a-f86ad3753e4d</x:v>
      </x:c>
      <x:c r="G256" s="7" t="str">
        <x:v>["consult with business clients", "develop creative ideas", "innovation processes", "negotiate compromises", "sales activities", "support employability of people with disabilities"]</x:v>
      </x:c>
      <x:c r="H256" s="7" t="str">
        <x:v>[]</x:v>
      </x:c>
      <x:c r="I256" s="7" t="str">
        <x:v>["consult with business clients", "develop creative ideas", "innovation processes", "negotiate compromises"]</x:v>
      </x:c>
      <x:c r="J256" s="7" t="str">
        <x:v>[]</x:v>
      </x:c>
      <x:c r="K256" s="7" t="str">
        <x:v>["ai_ml"]</x:v>
      </x:c>
      <x:c r="L256" s="7" t="str">
        <x:v>[]</x:v>
      </x:c>
      <x:c r="M256" s="7" t="str">
        <x:v>["ai_ml"]</x:v>
      </x:c>
      <x:c r="N256" s="7" t="str">
        <x:v>["ai_ml"]</x:v>
      </x:c>
      <x:c r="O256" s="7" t="str">
        <x:v>["title"]</x:v>
      </x:c>
      <x:c r="P256" s="7" t="str">
        <x:v>["communication", "creativity", "customer_interaction"]</x:v>
      </x:c>
      <x:c r="Q256" s="8" t="str">
        <x:v>no</x:v>
      </x:c>
      <x:c r="R256" s="8" t="str">
        <x:v>no</x:v>
      </x:c>
      <x:c r="S256" s="8" t="str">
        <x:v>yes</x:v>
      </x:c>
      <x:c r="T256" s="7" t="str">
        <x:v>False positive: εμπορικός ρόλος luxury-sector business development, χωρίς τεχνική υλοποίηση Data/AI.</x:v>
      </x:c>
    </x:row>
    <x:row r="257">
      <x:c r="A257" s="5" t="str">
        <x:v>ai_ml</x:v>
      </x:c>
      <x:c r="B257" s="5" t="str">
        <x:v>7267425</x:v>
      </x:c>
      <x:c r="C257" s="7" t="str">
        <x:v>AI/Computer Vision C++ Engineer (M/F)</x:v>
      </x:c>
      <x:c r="D257" s="7" t="str">
        <x:v>Enterprise Link Consulting is a reliable partner for our many SME, mid-sized and large accounts clients at the national level. With us, offer your career new perspectives: evolution, challenge, professional development. Thanks to its dynamic and innovative structure, Link Consulting promotes initiative and freedom of enterprise. Let's move forward together towards the adventure that inspires you. This job/mission announcement was written under the editorial responsibility of Jonathan CANALS, independent agent, commercial agent of SAS Link Consulting. Find all our offers on our site: Post Office Our client in the Aeronautics sector is looking for its future AI/Computer Vision C++ Engineer (M/F) for its Toulouse site, as part of the development of a fully automated recognition model. Your missions: As part of a passionate and tight team dedicated to embedded vision, you will: Design and train a Computer Vision model from scratch, adapted to long-distance recognition Rethink an existing architecture by removing/adjusting the layers, reorganizing the features and proposing a high-performance alternative to YOLO-type models, unsuitable for this use case. Automate the complete chain: data generation and augmentation, training, optimization, prediction, and drastic reduction of the manual labeling currently necessary. Technical skills • Advanced mastery of PyTorch or TensorFlow • C++ development • Expertise in Computer Vision, detection, classification, custom architectures • Experience in data augmentation, preprocessing and complex training pipelines • Skills in optimizing models for high-resolution video streams Ability to design a tailor-made model, beyond simple fine-tuning Profile Your profile: With a higher education Bac+5 in computer science/embedded systems, you have a minimum of successful experience 3 years on similar missions. The recruitment process We apply a structured, rapid and transparent process: 1. An initial exchange (telephone or by email) to understand your expectations and validate the key elements of the position (mobility, TJM/salary, availability, etc.). 2. An interview (physical or video) to deepen the technical, logistical or contextual aspects linked to the mission. 3. Sending your complete file to the client. 4. An interview with the end customer, if your profile is selected. At Link Consulting, we strive to get our clients to meet with you quickly, to ensure an efficient and responsive process. The process can be adapted according to the specifics of the mission or the client's requirements. The advantages Teleworking conditions: Remote possible, with travel to site and/or 2 days of teleworking per week. Shareholding plan, profit-sharing Financial conditions: €45,000 - €55,000 (depending on experience)</x:v>
      </x:c>
      <x:c r="E257" s="5" t="str">
        <x:v>50000.0</x:v>
      </x:c>
      <x:c r="F257" s="5" t="str">
        <x:v>e3229e40-f571-4b26-baca-29edc8fe313e</x:v>
      </x:c>
      <x:c r="G257" s="7" t="str">
        <x:v>["identify clients' needs", "manage personal professional development", "recruit personnel"]</x:v>
      </x:c>
      <x:c r="H257" s="7" t="str">
        <x:v>[]</x:v>
      </x:c>
      <x:c r="I257" s="7" t="str">
        <x:v>[]</x:v>
      </x:c>
      <x:c r="J257" s="7" t="str">
        <x:v>[]</x:v>
      </x:c>
      <x:c r="K257" s="7" t="str">
        <x:v>["ai_ml"]</x:v>
      </x:c>
      <x:c r="L257" s="7" t="str">
        <x:v>["ai_ml", "software"]</x:v>
      </x:c>
      <x:c r="M257" s="7" t="str">
        <x:v>["ai_ml", "software"]</x:v>
      </x:c>
      <x:c r="N257" s="7" t="str">
        <x:v>["ai_ml"]</x:v>
      </x:c>
      <x:c r="O257" s="7" t="str">
        <x:v>["title", "description"]</x:v>
      </x:c>
      <x:c r="P257" s="7" t="str">
        <x:v>[]</x:v>
      </x:c>
      <x:c r="Q257" s="8" t="str">
        <x:v>yes</x:v>
      </x:c>
      <x:c r="R257" s="8" t="str">
        <x:v>yes</x:v>
      </x:c>
      <x:c r="S257" s="8" t="str">
        <x:v>yes</x:v>
      </x:c>
      <x:c r="T257" s="7" t="str">
        <x:v>Reviewed against title, duties, mapped skills and detection sources.</x:v>
      </x:c>
    </x:row>
    <x:row r="258">
      <x:c r="A258" s="5" t="str">
        <x:v>ai_ml</x:v>
      </x:c>
      <x:c r="B258" s="5" t="str">
        <x:v>SKA-00057</x:v>
      </x:c>
      <x:c r="C258" s="7" t="str">
        <x:v>AI &amp; Data Agency Manager (Nantes) - M/F</x:v>
      </x:c>
      <x:c r="D258" s="7" t="str">
        <x:v>Description: Our client, a data and artificial intelligence consulting firm, is looking for an Agency Manager to support the opening of an office in Nantes (location to be defined within a coworking space or business center). Based in the west of France, the company now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Nantes agency marks a key step in the growth of the firm, already commercially present in the western region. The objective: to strengthen customer proximity and develop a sustainable local presence. Your main missions: Develop the activity in Nantes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Nantes team in the medium term, with the support of headquarters. Position based in Nantes, with occasional trips to the company's headquarters and to clients in the western region.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58" s="5" t="str">
        <x:v>110000.0</x:v>
      </x:c>
      <x:c r="F258" s="5" t="str">
        <x:v>e297ec12-4712-40a4-ad98-ba004cacb205</x:v>
      </x:c>
      <x:c r="G258" s="7" t="str">
        <x:v>["assume responsibility", "engage local communities in the management of natural protected areas", "give live presentation", "lead a team", "operations management", "patient autonomy", "predictive maintenance", "show entrepreneurial spirit"]</x:v>
      </x:c>
      <x:c r="H258" s="7" t="str">
        <x:v>[]</x:v>
      </x:c>
      <x:c r="I258" s="7" t="str">
        <x:v>["assume responsibility", "lead a team"]</x:v>
      </x:c>
      <x:c r="J258" s="7" t="str">
        <x:v>[]</x:v>
      </x:c>
      <x:c r="K258" s="7" t="str">
        <x:v>["ai_ml"]</x:v>
      </x:c>
      <x:c r="L258" s="7" t="str">
        <x:v>["ai_ml"]</x:v>
      </x:c>
      <x:c r="M258" s="7" t="str">
        <x:v>["ai_ml"]</x:v>
      </x:c>
      <x:c r="N258" s="7" t="str">
        <x:v>["ai_ml"]</x:v>
      </x:c>
      <x:c r="O258" s="7" t="str">
        <x:v>["title", "description"]</x:v>
      </x:c>
      <x:c r="P258" s="7" t="str">
        <x:v>["initiative_responsibility", "leadership"]</x:v>
      </x:c>
      <x:c r="Q258" s="8" t="str">
        <x:v>yes</x:v>
      </x:c>
      <x:c r="R258" s="8" t="str">
        <x:v>yes</x:v>
      </x:c>
      <x:c r="S258" s="8" t="str">
        <x:v>yes</x:v>
      </x:c>
      <x:c r="T258" s="7" t="str">
        <x:v>Reviewed against title, duties, mapped skills and detection sources.</x:v>
      </x:c>
    </x:row>
    <x:row r="259">
      <x:c r="A259" s="5" t="str">
        <x:v>ai_ml</x:v>
      </x:c>
      <x:c r="B259" s="5" t="str">
        <x:v>27801862</x:v>
      </x:c>
      <x:c r="C259" s="7" t="str">
        <x:v>Data Architect / IA (F/H)</x:v>
      </x:c>
      <x:c r="D259" s="7" t="str">
        <x:v>Why do we need you? You will integrate a dynamic environment dealing with Data, AI and addressing all of the company's businesses. You will work in a Data ecosystem including, among other things, the best modern Data tools on the market. You will be at the heart of transformation projects, which started at the end of 2023 and will operate over the coming years as part of a very ambitious strategic plan. What do we expect from you? You will carry out the missions of Data Architect: - Take charge of project architecture files, guaranteeing consistency with the strategy, the architectural framework and the Data Heritage Roadmap. - Support Product Owners/Managers and business teams in the evolution of Data Heritage. - Identify architectural developments induced by new business uses. - Feed and carry architectural decisions into the Architecture Data Instance, or in the ad-hoc instances of the MACIF DSI. - Feed the Roadmap Data in its architectural dimension. - Provide technical and functional expertise on AI / MLOps subjects in the context of transformations linked to cloud migration (GCP) of Data Assets - Provide expertise in the integration of Data tools and their governance in the Data MACIF ecosystem. - Reference and update Data architecture patterns. - Promote the Data architecture framework to the Data Office, IT Department Architects and business teams. - Be on the lookout for trends and technological developments in Data solutions. You are a privileged contact for the professions and through your role, participate in informing the Group's strategic decisions to improve its performance thanks, among other things, to better exploitation, reliability and a quality path of Data. The essentials: - Minimum 5 years of experience in the field of data architecture. - Expertise in Google Cloud Platform data ecosystem solutions (GCS, BigQuery, Dataproc, Dataform, etc.) - Expertise in the implementation, deployment and industrialization of AI and MLOps solutions - Mastery of data processing patterns (ETL/ELT) and associated solutions in the MACIF context - Mastery of the integration patterns of data tools (Tableau Software, SAP BI, Starburst, Dataiku) with architectures underlying - Ability to lead, convince and obtain team buy-in on architectural choices. Additional information: - Salary: 40-55Keuros Depending on profile and seniority - Work from Monday to Friday (variable hours) - Annual package of 203 days worked (framework contract) - Possibility of teleworking 100 days/year (from 6 months of seniority, restaurant vouchers) - Company catering - Participation/Incentive - Diversified professional paths and an expanded training offer</x:v>
      </x:c>
      <x:c r="E259" s="5" t="str">
        <x:v>47500.0</x:v>
      </x:c>
      <x:c r="F259" s="5" t="str">
        <x:v>d3edb8f8-3a06-47a0-8fb9-9b212c006aa2</x:v>
      </x:c>
      <x:c r="G259" s="7" t="str">
        <x:v>["data extraction, transformation and loading tools", "data quality assessment"]</x:v>
      </x:c>
      <x:c r="H259" s="7" t="str">
        <x:v>[]</x:v>
      </x:c>
      <x:c r="I259" s="7" t="str">
        <x:v>[]</x:v>
      </x:c>
      <x:c r="J259" s="7" t="str">
        <x:v>[]</x:v>
      </x:c>
      <x:c r="K259" s="7" t="str">
        <x:v>["ai_ml", "data_engineering"]</x:v>
      </x:c>
      <x:c r="L259" s="7" t="str">
        <x:v>["ai_ml", "data_engineering", "cloud_devops"]</x:v>
      </x:c>
      <x:c r="M259" s="7" t="str">
        <x:v>["ai_ml", "cloud_devops", "data_engineering"]</x:v>
      </x:c>
      <x:c r="N259" s="7" t="str">
        <x:v>["ai_ml", "data_engineering"]</x:v>
      </x:c>
      <x:c r="O259" s="7" t="str">
        <x:v>["title", "description"]</x:v>
      </x:c>
      <x:c r="P259" s="7" t="str">
        <x:v>[]</x:v>
      </x:c>
      <x:c r="Q259" s="8" t="str">
        <x:v>yes</x:v>
      </x:c>
      <x:c r="R259" s="8" t="str">
        <x:v>yes</x:v>
      </x:c>
      <x:c r="S259" s="8" t="str">
        <x:v>yes</x:v>
      </x:c>
      <x:c r="T259" s="7" t="str">
        <x:v>Reviewed against title, duties, mapped skills and detection sources.</x:v>
      </x:c>
    </x:row>
    <x:row r="260">
      <x:c r="A260" s="5" t="str">
        <x:v>ai_ml</x:v>
      </x:c>
      <x:c r="B260" s="5" t="str">
        <x:v>202HQRS</x:v>
      </x:c>
      <x:c r="C260" s="7" t="str">
        <x:v>Data Scientist (H/F)</x:v>
      </x:c>
      <x:c r="D260" s="7" t="str">
        <x:v>INTRODUCTION Working at Lidl is much more than a job! By joining the Data &amp; AI team within the management control department, you will participate in improving Lidl France's activity through data science projects with high operational impact. MISSIONS In order to achieve your objectives as a Data Scientist, your daily missions will be: * Collaborate with business services to understand their needs and design appropriate data solutions, * Design and develop machine learning models (prediction and optimization models) to improve operational processes, * Support and facilitate the implementation of internal solutions related to the management and exploitation of data, * Automation and improvement of processes using more efficient tools (Python, SQL, AppScripts, Looker, etc.) * Curiosity to explore and propose relevant use cases of AI for our activities. PROFILE Beyond your professional experience, we are above all looking for a personality. * Are you recognized for your organization, your rigor and your analytical skills? * Do you have good interpersonal skills, are you autonomous and like working in a team? * If you answered yes to these questions, then don't hesitate to join #TeamLidl. To apply for a Data Scientist position, you will need: * Be a graduate of an engineering school/university specializing in the field of data science * Have at least 2 years of experience (excluding work-study studies) in a data scientist position * Have an advanced mastery of the Python and SQL programming languages ​​and its libraries * Have a solid theoretical understanding as well as a practical application of Machine Learning and Deep Learning algorithms. * Have a good understanding of the fundamental concepts of language models (LLMs) and generative AI, a first experience using the APIs of these models is a plus. * Have a good ability to translate complex analyzes into clear and relevant visualizations using Data Visualization tools. * Have practical experience with the GCP suite. * Fluent in English, German is a plus. JOIN LIDL We recognize the work and investment of everyone by offering you: * A permanent position, in Executive status, within our Headquarters in Châtenay-Malabry. * Remuneration of €3,372 gross over 13 months. * A teleworking agreement: 2 days per week after 3 months of seniority. * A company restaurant and a cafeteria. * A gym with 3 spaces: fitness, CrossFit, group classes. * Training in our concept and our tools. Joining Lidl also means joining a company certified TOP Employer since 2019! This Label rewards our HR policy, our commitments in terms of gender equality, diversity &amp; inclusion, but also the work of our teams in the field on a daily basis. All our positions are open to people with disabilities. Depending on the specific needs of each person, a material and/or organizational arrangement of the workstation will be studied.</x:v>
      </x:c>
      <x:c r="E260" s="5" t="str">
        <x:v>40464.0</x:v>
      </x:c>
      <x:c r="F260" s="5" t="str">
        <x:v>258e46f9-0075-4a2e-adae-1ff0477e0f30</x:v>
      </x:c>
      <x:c r="G260" s="7" t="str">
        <x:v>["Python (computer programming)", "SQL", "data visualisation software", "develop predictive models", "promote inclusion", "support employability of people with disabilities", "utilise machine learning"]</x:v>
      </x:c>
      <x:c r="H260" s="7" t="str">
        <x:v>["Python (computer programming)", "SQL", "data visualisation software", "utilise machine learning"]</x:v>
      </x:c>
      <x:c r="I260" s="7" t="str">
        <x:v>[]</x:v>
      </x:c>
      <x:c r="J260" s="7" t="str">
        <x:v>["ai_ml", "data_analysis"]</x:v>
      </x:c>
      <x:c r="K260" s="7" t="str">
        <x:v>["ai_ml", "data_analysis"]</x:v>
      </x:c>
      <x:c r="L260" s="7" t="str">
        <x:v>["ai_ml", "data_analysis", "cloud_devops"]</x:v>
      </x:c>
      <x:c r="M260" s="7" t="str">
        <x:v>["ai_ml", "cloud_devops", "data_analysis"]</x:v>
      </x:c>
      <x:c r="N260" s="7" t="str">
        <x:v>["ai_ml", "data_analysis"]</x:v>
      </x:c>
      <x:c r="O260" s="7" t="str">
        <x:v>["esco", "title", "description"]</x:v>
      </x:c>
      <x:c r="P260" s="7" t="str">
        <x:v>[]</x:v>
      </x:c>
      <x:c r="Q260" s="8" t="str">
        <x:v>yes</x:v>
      </x:c>
      <x:c r="R260" s="8" t="str">
        <x:v>yes</x:v>
      </x:c>
      <x:c r="S260" s="8" t="str">
        <x:v>yes</x:v>
      </x:c>
      <x:c r="T260" s="7" t="str">
        <x:v>Reviewed against title, duties, mapped skills and detection sources.</x:v>
      </x:c>
    </x:row>
    <x:row r="261">
      <x:c r="A261" s="5" t="str">
        <x:v>ai_ml</x:v>
      </x:c>
      <x:c r="B261" s="5" t="str">
        <x:v>SKA-00061</x:v>
      </x:c>
      <x:c r="C261" s="7" t="str">
        <x:v>Responsable Practice Data / IA (Paris) - H/F</x:v>
      </x:c>
      <x:c r="D261" s="7" t="str">
        <x:v>Description: Our client, a data and artificial intelligence consulting firm, is looking for a Data / AI Practice Manager to support the opening of an office in Paris (location to be defined within a coworking space or WeWork type business center). Based in the region, less than 2 hours from Paris by TGV, the company today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Parisian agency marks a key step in the growth of the firm, already present commercially in Île-de-France. The objective: to strengthen customer proximity and develop a sustainable local presence. Your main missions: Develop the activity in Paris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Parisian team in the medium term, with the support of the company's headquarters. Position based in Paris, with occasional trips to the company's headquarters (in the regions, less than 2 hours from Paris by train) and to clients in Île-de-France.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61" s="5" t="str">
        <x:v>110000.0</x:v>
      </x:c>
      <x:c r="F261" s="5" t="str">
        <x:v>e297ec12-4712-40a4-ad98-ba004cacb205</x:v>
      </x:c>
      <x:c r="G261" s="7" t="str">
        <x:v>["assume responsibility", "engage local communities in the management of natural protected areas", "give live presentation", "lead a team", "operations management", "patient autonomy", "predictive maintenance", "show entrepreneurial spirit"]</x:v>
      </x:c>
      <x:c r="H261" s="7" t="str">
        <x:v>[]</x:v>
      </x:c>
      <x:c r="I261" s="7" t="str">
        <x:v>["assume responsibility", "lead a team"]</x:v>
      </x:c>
      <x:c r="J261" s="7" t="str">
        <x:v>[]</x:v>
      </x:c>
      <x:c r="K261" s="7" t="str">
        <x:v>["ai_ml"]</x:v>
      </x:c>
      <x:c r="L261" s="7" t="str">
        <x:v>["ai_ml"]</x:v>
      </x:c>
      <x:c r="M261" s="7" t="str">
        <x:v>["ai_ml"]</x:v>
      </x:c>
      <x:c r="N261" s="7" t="str">
        <x:v>["ai_ml"]</x:v>
      </x:c>
      <x:c r="O261" s="7" t="str">
        <x:v>["title", "description"]</x:v>
      </x:c>
      <x:c r="P261" s="7" t="str">
        <x:v>["initiative_responsibility", "leadership"]</x:v>
      </x:c>
      <x:c r="Q261" s="8" t="str">
        <x:v>yes</x:v>
      </x:c>
      <x:c r="R261" s="8" t="str">
        <x:v>yes</x:v>
      </x:c>
      <x:c r="S261" s="8" t="str">
        <x:v>yes</x:v>
      </x:c>
      <x:c r="T261" s="7" t="str">
        <x:v>Reviewed against title, duties, mapped skills and detection sources.</x:v>
      </x:c>
    </x:row>
    <x:row r="262">
      <x:c r="A262" s="5" t="str">
        <x:v>ai_ml</x:v>
      </x:c>
      <x:c r="B262" s="5" t="str">
        <x:v>27770871</x:v>
      </x:c>
      <x:c r="C262" s="7" t="str">
        <x:v>Tech Lead Machine Learning F/H</x:v>
      </x:c>
      <x:c r="D262" s="7" t="str">
        <x:v>We are looking for our Machine Learning Tech Lead within the Software Engineering Department of CDC Informatique, Data &amp; AI department, which is in charge of carrying out the various Data and AI projects of the Business departments of Caisse des Dépôts et Consignations (CDC). You play a cross-functional role to participate and support the implementation of AI use cases. Main challenge: Design, develop and deploy advanced machine learning models to solve complex problems and improve the company's products and services. Your main missions: - Develop and implement machine learning and deep learning algorithms (NLP, Computer Vision, Recommendation, etc.) - Manage the full cycle of models: data collection, training, validation, deployment and monitoring in production - Optimize model performance (scalability, latency, precision) - Design robust data pipelines for training and inference - Collaborate with cross-functional teams (Data Engineers, Data Scientist Data Analyst, Product Owner, ...) - Ensure technological monitoring and integrate the latest advances (LLMs, GenAI, ML frameworks) - Supervise and support junior profiles Hard skills: - Language: Python - ML/DL frameworks: TensorFlow, PyTorch, Scikit-learn. - NLP &amp; LLMs: experience with language models, embeddings, semantic search. - Data Engineering: Spark, Kafka, Hive, Impala, Cloudera. - Cloud &amp; MLOps: Dataiku, Azure IA, Azure ML, CI/CD, Docker, Kubernetes. - Tools: NumPy, Pandas, Matplotlib, MLflow. - Solid foundation in statistics, optimization and neural network architectures. Soft Skills: - Technical leadership and mentoring - Analytical mind and problem solving - Curiosity and technological monitoring - Autonomy and sense of responsibility - Ability to work in a team and communicate effectively</x:v>
      </x:c>
      <x:c r="E262" s="5" t="str">
        <x:v>70000.0</x:v>
      </x:c>
      <x:c r="F262" s="5" t="str">
        <x:v>92bb3d8c-8a9f-4cd7-80ec-247bbf173004</x:v>
      </x:c>
      <x:c r="G262" s="7" t="str">
        <x:v>["SPARK", "communication", "computer vision", "data analytics", "gather data", "utilise machine learning"]</x:v>
      </x:c>
      <x:c r="H262" s="7" t="str">
        <x:v>["computer vision", "data analytics", "utilise machine learning"]</x:v>
      </x:c>
      <x:c r="I262" s="7" t="str">
        <x:v>["communication"]</x:v>
      </x:c>
      <x:c r="J262" s="7" t="str">
        <x:v>["ai_ml", "data_analysis"]</x:v>
      </x:c>
      <x:c r="K262" s="7" t="str">
        <x:v>["ai_ml"]</x:v>
      </x:c>
      <x:c r="L262" s="7" t="str">
        <x:v>["ai_ml", "data_analysis", "data_engineering", "cloud_devops"]</x:v>
      </x:c>
      <x:c r="M262" s="7" t="str">
        <x:v>["ai_ml", "cloud_devops", "data_analysis", "data_engineering"]</x:v>
      </x:c>
      <x:c r="N262" s="7" t="str">
        <x:v>["ai_ml", "data_analysis"]</x:v>
      </x:c>
      <x:c r="O262" s="7" t="str">
        <x:v>["esco", "title", "description"]</x:v>
      </x:c>
      <x:c r="P262" s="7" t="str">
        <x:v>["communication"]</x:v>
      </x:c>
      <x:c r="Q262" s="8" t="str">
        <x:v>yes</x:v>
      </x:c>
      <x:c r="R262" s="8" t="str">
        <x:v>yes</x:v>
      </x:c>
      <x:c r="S262" s="8" t="str">
        <x:v>yes</x:v>
      </x:c>
      <x:c r="T262" s="7" t="str">
        <x:v>Reviewed against title, duties, mapped skills and detection sources.</x:v>
      </x:c>
    </x:row>
    <x:row r="263">
      <x:c r="A263" s="5" t="str">
        <x:v>ai_ml</x:v>
      </x:c>
      <x:c r="B263" s="5" t="str">
        <x:v>SKA-00058</x:v>
      </x:c>
      <x:c r="C263" s="7" t="str">
        <x:v>AI &amp; Data agency manager (Lyon) - M/F</x:v>
      </x:c>
      <x:c r="D263" s="7" t="str">
        <x:v>Description: Our client, a data and artificial intelligence consulting firm, is looking for an Agency Manager to support the opening of an office in Lyon (location to be defined within a coworking space or business center). Based in the provinces (less than 2 hours from Paris), the company today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Lyon agency marks a key step in the growth of the firm, already commercially present in the Auvergne-Rhône-Alpes region. The objective is to strengthen proximity with customers and develop a sustainable local presence. Your main missions: Develop the activity in Lyon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Lyon team in the medium term, with support from headquarters. Position based in Lyon, with occasional trips to the company's headquarters and to clients in the Auvergne-Rhône-Alpes region.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63" s="5" t="str">
        <x:v>110000.0</x:v>
      </x:c>
      <x:c r="F263" s="5" t="str">
        <x:v>e297ec12-4712-40a4-ad98-ba004cacb205</x:v>
      </x:c>
      <x:c r="G263" s="7" t="str">
        <x:v>["assume responsibility", "engage local communities in the management of natural protected areas", "give live presentation", "lead a team", "operations management", "patient autonomy", "predictive maintenance", "show entrepreneurial spirit"]</x:v>
      </x:c>
      <x:c r="H263" s="7" t="str">
        <x:v>[]</x:v>
      </x:c>
      <x:c r="I263" s="7" t="str">
        <x:v>["assume responsibility", "lead a team"]</x:v>
      </x:c>
      <x:c r="J263" s="7" t="str">
        <x:v>[]</x:v>
      </x:c>
      <x:c r="K263" s="7" t="str">
        <x:v>["ai_ml"]</x:v>
      </x:c>
      <x:c r="L263" s="7" t="str">
        <x:v>["ai_ml"]</x:v>
      </x:c>
      <x:c r="M263" s="7" t="str">
        <x:v>["ai_ml"]</x:v>
      </x:c>
      <x:c r="N263" s="7" t="str">
        <x:v>["ai_ml"]</x:v>
      </x:c>
      <x:c r="O263" s="7" t="str">
        <x:v>["title", "description"]</x:v>
      </x:c>
      <x:c r="P263" s="7" t="str">
        <x:v>["initiative_responsibility", "leadership"]</x:v>
      </x:c>
      <x:c r="Q263" s="8" t="str">
        <x:v>yes</x:v>
      </x:c>
      <x:c r="R263" s="8" t="str">
        <x:v>yes</x:v>
      </x:c>
      <x:c r="S263" s="8" t="str">
        <x:v>yes</x:v>
      </x:c>
      <x:c r="T263" s="7" t="str">
        <x:v>Reviewed against title, duties, mapped skills and detection sources.</x:v>
      </x:c>
    </x:row>
    <x:row r="264">
      <x:c r="A264" s="5" t="str">
        <x:v>ai_ml</x:v>
      </x:c>
      <x:c r="B264" s="5" t="str">
        <x:v>204JVSX</x:v>
      </x:c>
      <x:c r="C264" s="7" t="str">
        <x:v>AI Staff Provisioning Officer M/F</x:v>
      </x:c>
      <x:c r="D264" s="7" t="str">
        <x:v>Le Chargé de mise à disposition assure l'interface entre : - les salariés en parcours d'insertion, - les clients utilisateurs (professionnels et particuliers), - l'équipe interne (direction, accompagnement socio-professionnel) Il organise, planifie et suit les missions confiées aux salariés en insertion dans le respect du cadre réglementaire des associations intermédiaires. Your missions: - reception and analysis of customer requests - organization and planning of missions - provision of employees according to their skills and availability - monitoring of services and management of possible complaints - administrative monitoring (contracts, time records, payroll transmission) - participation in the development and retention of partners Profile sought: knowledge of labor law appreciated sense of organization and responsiveness, ability to deal with emergencies autonomy and versatility relational ease and ability to adapt mastery of office tools (Excel, Word, etc.) We are looking for a truly motivated person, ready to actively invest in supporting employment and to fully engage in the daily operational life of the association. The position is based in the association's premises in Rouen. Travel is expected around Rouen, to clients (communities, businesses, associations, individuals).</x:v>
      </x:c>
      <x:c r="E264" s="5" t="str">
        <x:v>25200.0</x:v>
      </x:c>
      <x:c r="F264" s="5" t="str">
        <x:v>044d78cc-f62f-4532-83a5-8e04f2889652</x:v>
      </x:c>
      <x:c r="G264" s="7" t="str">
        <x:v>["collect customer feedback on applications", "use microsoft office"]</x:v>
      </x:c>
      <x:c r="H264" s="7" t="str">
        <x:v>[]</x:v>
      </x:c>
      <x:c r="I264" s="7" t="str">
        <x:v>[]</x:v>
      </x:c>
      <x:c r="J264" s="7" t="str">
        <x:v>[]</x:v>
      </x:c>
      <x:c r="K264" s="7" t="str">
        <x:v>["ai_ml"]</x:v>
      </x:c>
      <x:c r="L264" s="7" t="str">
        <x:v>[]</x:v>
      </x:c>
      <x:c r="M264" s="7" t="str">
        <x:v>["ai_ml"]</x:v>
      </x:c>
      <x:c r="N264" s="7" t="str">
        <x:v>["ai_ml"]</x:v>
      </x:c>
      <x:c r="O264" s="7" t="str">
        <x:v>["title"]</x:v>
      </x:c>
      <x:c r="P264" s="7" t="str">
        <x:v>[]</x:v>
      </x:c>
      <x:c r="Q264" s="8" t="str">
        <x:v>no</x:v>
      </x:c>
      <x:c r="R264" s="8" t="str">
        <x:v>no</x:v>
      </x:c>
      <x:c r="S264" s="8" t="str">
        <x:v>yes</x:v>
      </x:c>
      <x:c r="T264" s="7" t="str">
        <x:v>False positive λόγω ακρωνυμίου IA: association intermédiaire/provisioning officer, καμία σχέση με artificial intelligence.</x:v>
      </x:c>
    </x:row>
    <x:row r="265">
      <x:c r="A265" s="5" t="str">
        <x:v>ai_ml</x:v>
      </x:c>
      <x:c r="B265" s="5" t="str">
        <x:v>SKA-00060</x:v>
      </x:c>
      <x:c r="C265" s="7" t="str">
        <x:v>Director of Business Unit Data &amp; AI (Lyon) - M/F</x:v>
      </x:c>
      <x:c r="D265" s="7" t="str">
        <x:v>Description: Our client, a data and artificial intelligence consulting firm, is looking for a Data &amp; AI Business Unit Director to support the opening of an office in Lyon (location to be defined within a coworking space or business center). Based in the provinces (less than 2 hours from Paris), the company today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Lyon agency marks a key step in the growth of the firm, already commercially present in the Auvergne-Rhône-Alpes region. The objective is to strengthen proximity with customers and develop a sustainable local presence. Your main missions: Develop the activity in Lyon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Lyon team in the medium term, with support from headquarters. Position based in Lyon, with occasional trips to the company's headquarters and to clients in the Auvergne-Rhône-Alpes region.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65" s="5" t="str">
        <x:v>110000.0</x:v>
      </x:c>
      <x:c r="F265" s="5" t="str">
        <x:v>e297ec12-4712-40a4-ad98-ba004cacb205</x:v>
      </x:c>
      <x:c r="G265" s="7" t="str">
        <x:v>["assume responsibility", "engage local communities in the management of natural protected areas", "give live presentation", "lead a team", "operations management", "patient autonomy", "predictive maintenance", "show entrepreneurial spirit"]</x:v>
      </x:c>
      <x:c r="H265" s="7" t="str">
        <x:v>[]</x:v>
      </x:c>
      <x:c r="I265" s="7" t="str">
        <x:v>["assume responsibility", "lead a team"]</x:v>
      </x:c>
      <x:c r="J265" s="7" t="str">
        <x:v>[]</x:v>
      </x:c>
      <x:c r="K265" s="7" t="str">
        <x:v>["ai_ml"]</x:v>
      </x:c>
      <x:c r="L265" s="7" t="str">
        <x:v>["ai_ml"]</x:v>
      </x:c>
      <x:c r="M265" s="7" t="str">
        <x:v>["ai_ml"]</x:v>
      </x:c>
      <x:c r="N265" s="7" t="str">
        <x:v>["ai_ml"]</x:v>
      </x:c>
      <x:c r="O265" s="7" t="str">
        <x:v>["title", "description"]</x:v>
      </x:c>
      <x:c r="P265" s="7" t="str">
        <x:v>["initiative_responsibility", "leadership"]</x:v>
      </x:c>
      <x:c r="Q265" s="8" t="str">
        <x:v>yes</x:v>
      </x:c>
      <x:c r="R265" s="8" t="str">
        <x:v>yes</x:v>
      </x:c>
      <x:c r="S265" s="8" t="str">
        <x:v>yes</x:v>
      </x:c>
      <x:c r="T265" s="7" t="str">
        <x:v>Reviewed against title, duties, mapped skills and detection sources.</x:v>
      </x:c>
    </x:row>
    <x:row r="266">
      <x:c r="A266" s="5" t="str">
        <x:v>ai_ml</x:v>
      </x:c>
      <x:c r="B266" s="5" t="str">
        <x:v>35hvagdkoo</x:v>
      </x:c>
      <x:c r="C266" s="7" t="str">
        <x:v>AI research engineer and educational engineering M/F</x:v>
      </x:c>
      <x:c r="D266" s="7" t="str">
        <x:v>RESPONSIBILITIES: Loria, the Lorraine Laboratory for Research in Computer Science and its Applications, is a Joint Research Unit (UMR 7503), common to several establishments: the CNRS, the University of Lorraine and Inria is looking for an engineer in artificial intelligence and educational engineering M/F. Mission 1: Design, develop and maintain processing chains in artificial intelligence and automatic language processing. Mission 2: Propose technical solutions for interdisciplinary research projects Mission 3: Constitute, structure and enrich corpora with a view to their exploitation Mission 4: Articulate research and training (TAL, computer science and cognitive sciences) Mission 5: Design and deploy training and support actions for research PROFILE WANTED: Person with a BAC + 5, you must have successful experience on similar missions. Desired diploma: Master's degree in NLP or IT or related disciplines. Knowledge · Mastery of the state of the art in automatic language processing. · Knowledge of Speech Processing and Knowledge Processing techniques. · Mastery of fine-tuning methods and adaptation of pre-trained models. · Good knowledge of educational issues for SHS audiences. · Mastery of French (C1-C2 oral and written) as a working language. · Mastery of English (C1-C2 oral and written), openness to other languages ​​appreciated. Operational skills · Very good general knowledge in IT development · Knowledge of the fundamentals of machine learning and deep learning, optimization algorithms · ML/NLP libraries: Sklearn, Pytorch, Tensorflow, Transformers,... · Knowledge of systems and networks on Linux operating systems · Programming on national computing grids · Web: HTML, CSS, JavaScript, PHP,... · Software forges (gitlab in particular) and methodology of projects. Interpersonal skills · Ability to communicate with various audiences: researchers, students, SHS teachers and partners. · Ability to work in a team and organizational skills. · Lead networks (partnerships, companies, speakers, scientists). · Ability to explain technical concepts to non-specialists. · Open-mindedness and curiosity for interdisciplinary approaches (arts, literature, SHS). Contract: Full-time fixed-term contract to be filled from April 1 to March 31, 2027. Remuneration: €3,600 gross monthly. If this job offer interests you, do not hesitate to send your application before 03/15/2026.</x:v>
      </x:c>
      <x:c r="E266" s="5" t="str">
        <x:v>43200.0</x:v>
      </x:c>
      <x:c r="F266" s="5" t="str">
        <x:v>2a914d26-42aa-46b5-acf3-097d51ba4617</x:v>
      </x:c>
      <x:c r="G266" s="7" t="str">
        <x:v>["PHP", "computer science", "customise project methodologies", "demonstrate curiosity", "interact with an audience", "keep an open mind", "literature", "scientific computing"]</x:v>
      </x:c>
      <x:c r="H266" s="7" t="str">
        <x:v>["PHP"]</x:v>
      </x:c>
      <x:c r="I266" s="7" t="str">
        <x:v>["demonstrate curiosity"]</x:v>
      </x:c>
      <x:c r="J266" s="7" t="str">
        <x:v>["software"]</x:v>
      </x:c>
      <x:c r="K266" s="7" t="str">
        <x:v>["ai_ml"]</x:v>
      </x:c>
      <x:c r="L266" s="7" t="str">
        <x:v>["ai_ml", "software", "networks_systems"]</x:v>
      </x:c>
      <x:c r="M266" s="7" t="str">
        <x:v>["ai_ml", "networks_systems", "software"]</x:v>
      </x:c>
      <x:c r="N266" s="7" t="str">
        <x:v>["ai_ml", "software"]</x:v>
      </x:c>
      <x:c r="O266" s="7" t="str">
        <x:v>["esco", "title", "description"]</x:v>
      </x:c>
      <x:c r="P266" s="7" t="str">
        <x:v>["creativity"]</x:v>
      </x:c>
      <x:c r="Q266" s="8" t="str">
        <x:v>yes</x:v>
      </x:c>
      <x:c r="R266" s="8" t="str">
        <x:v>yes</x:v>
      </x:c>
      <x:c r="S266" s="8" t="str">
        <x:v>yes</x:v>
      </x:c>
      <x:c r="T266" s="7" t="str">
        <x:v>Reviewed against title, duties, mapped skills and detection sources.</x:v>
      </x:c>
    </x:row>
    <x:row r="267">
      <x:c r="A267" s="5" t="str">
        <x:v>ai_ml</x:v>
      </x:c>
      <x:c r="B267" s="5" t="str">
        <x:v>27766844</x:v>
      </x:c>
      <x:c r="C267" s="7" t="str">
        <x:v>Confirmed studies and development engineer F/M</x:v>
      </x:c>
      <x:c r="D267" s="7" t="str">
        <x:v>The Coexya group, an independent digital player and multi-specialist (consulting, integration &amp; development), has more than 950 employees present on the sites of Lyon, Paris, Rennes, Brest and Lille, and supports companies in their digital transformation. Coexya works on numerous projects that contribute to societal progress (health, environment, digital responsibility, etc.). Respect for our values: commitment, respect and sharing, is an essential element of our corporate culture and this begins at the recruitment stage. On a daily basis, the group works to guarantee the diversity and well-being of its employees, limit its environmental impact and support ethical approaches. In 2024, Coexya joined the Talan group, an international player in consulting and technological expertise that accelerates the transformation of its clients through the levers of innovation, technology and data. CONTEXT The Search &amp; Data Valorization entity is looking for an experienced developer to design, develop and maintain advanced data analysis platforms, integrating complete chains of data collection, processing, enrichment, and analysis, including natural language processing (NLP) services. You will work in an environment combining robust back-end technologies (Java) and scripts or analytical services (Python), in direct contact with the data teams. WHAT WE OFFER YOU You will be part of a team of 3 to 5 enthusiasts and will contribute to the development of search engine solutions for our clients. You will have the opportunity to: - Design and develop end-to-end data processing chains: ingestion, cleaning, standardization, enrichment. - Implement NLP services: entity extraction, classification, summary, etc. - Participate in the design and development of analysis platforms: APIs, dashboards, data exploration tools. - Optimize existing processing to improve scalability, reliability and performance. - Collaborate closely with development teams, business analysts and business managers. - Industrialize and document developments, ensure quality via automated tests. WHAT WE EXPECT OF YOU - You have at least 6 years of development experience, a significant portion of which on complex data projects. - You master Java and Python for different uses (back-end services, analysis scripts, data processing). - You have already worked on data collection/processing chains, ideally in a production context. - Ideally you have a first experience on projects integrating natural language processing, or the desire to improve your skills on this subject, And on a human level? - You are comfortable in a demanding and collaborative technical environment. - You are curious and rigorous - You like building useful and durable tools. TECHNICAL ENVIRONMENT: - Languages: Java (Spring Boot), Python (spaCy) - Data &amp; Processing: Elasticsearch, Kafka - Storage: PostgreSQL - DevOps: Docker, Kubernetes, GitLab, Jenkins - Monitoring: ELK</x:v>
      </x:c>
      <x:c r="E267" s="5" t="str">
        <x:v>42500.0</x:v>
      </x:c>
      <x:c r="F267" s="5" t="str">
        <x:v>f2b15a0e-e65a-438a-affb-29b9d50b77d1</x:v>
      </x:c>
      <x:c r="G267" s="7" t="str">
        <x:v>["Java (computer programming)", "Jenkins (tools for software configuration management)", "business analysis", "deliver visual presentation of data", "develop data processing applications", "develop design ideas cooperatively", "manage environmental impact of operations", "natural language processing", "recruit employees", "use scripting programming"]</x:v>
      </x:c>
      <x:c r="H267" s="7" t="str">
        <x:v>["Java (computer programming)", "Jenkins (tools for software configuration management)", "natural language processing"]</x:v>
      </x:c>
      <x:c r="I267" s="7" t="str">
        <x:v>[]</x:v>
      </x:c>
      <x:c r="J267" s="7" t="str">
        <x:v>["ai_ml", "cloud_devops", "software"]</x:v>
      </x:c>
      <x:c r="K267" s="7" t="str">
        <x:v>[]</x:v>
      </x:c>
      <x:c r="L267" s="7" t="str">
        <x:v>["ai_ml", "data_analysis", "data_engineering", "software", "cloud_devops"]</x:v>
      </x:c>
      <x:c r="M267" s="7" t="str">
        <x:v>["ai_ml", "cloud_devops", "data_analysis", "data_engineering", "software"]</x:v>
      </x:c>
      <x:c r="N267" s="7" t="str">
        <x:v>["ai_ml", "software", "cloud_devops"]</x:v>
      </x:c>
      <x:c r="O267" s="7" t="str">
        <x:v>["esco", "description"]</x:v>
      </x:c>
      <x:c r="P267" s="7" t="str">
        <x:v>[]</x:v>
      </x:c>
      <x:c r="Q267" s="8" t="str">
        <x:v>yes</x:v>
      </x:c>
      <x:c r="R267" s="8" t="str">
        <x:v>yes</x:v>
      </x:c>
      <x:c r="S267" s="8" t="str">
        <x:v>yes</x:v>
      </x:c>
      <x:c r="T267" s="7" t="str">
        <x:v>Reviewed against title, duties, mapped skills and detection sources.</x:v>
      </x:c>
    </x:row>
    <x:row r="268">
      <x:c r="A268" s="5" t="str">
        <x:v>ai_ml</x:v>
      </x:c>
      <x:c r="B268" s="5" t="str">
        <x:v>AA001398</x:v>
      </x:c>
      <x:c r="C268" s="7" t="str">
        <x:v>EXPERT TECHNIQUE IA F/H (GIRONDE)</x:v>
      </x:c>
      <x:c r="D268" s="7" t="str">
        <x:v>AI technical expert position to be filled within the National Information System Department (DNSI) of CDA France as part of a 1-year fixed-term contract potentially renewable, within a network of 8,000 employees spread across more than 100 establishments. The DNSI is called upon in the context of the emergence of growing needs for generative and predictive AI within the network of Chambers of Agriculture. In this context, DNSI is strengthening its resources in order to design a secure and efficient AI platform and develop its network services. Integrated into the Data Urbanization Pole in the Decision-making Information System Domain of the DNSI, in a team made up of 6 BI &amp; AI project managers / engineers / developers, you will carry out the following missions: In collaboration with BI &amp; AI engineers, participate in the design of the platform and the definition of technological orientations Develop solutions based on LLM Implement and optimize fine-tuning techniques (LoRA, QLoRA) Set up and use systems RAG (Retrieval Augmented Generation) Provide high-level technical support Optimize the performance and scalability of solutions Participate in the development of AI modules to be integrated into software Engineering or university training in data science at Bac+5 level Specialization in applied mathematics and computer science Practical experience with generative AI models Skills Expertise in LLM (GPT, Mistral, Llama, etc.) Mastery of LLM deployment infrastructures including RAG Mastery of Python and AI frameworks (TensorFlow, PyTorch, LangChain) Experience in fine-tuning models and deployment Mastery of SQL and knowledge of PostgreSQL Knowledge of BI infrastructures and interactions between AI and BI Data preparation skills Rigor and ability to keep commitments in terms of quality – cost – deadline Autonomy and ability to work in a team, particularly remotely Sense of service and customer/user relations Writing skills and proficiency in English, particularly technical and necessary for research and online support</x:v>
      </x:c>
      <x:c r="E268" s="5" t="str">
        <x:v>42000.0</x:v>
      </x:c>
      <x:c r="F268" s="5" t="str">
        <x:v>c3aae59e-1441-4b3e-bdd1-6da50dc7cf42</x:v>
      </x:c>
      <x:c r="G268" s="7" t="str">
        <x:v>["English", "define security policies"]</x:v>
      </x:c>
      <x:c r="H268" s="7" t="str">
        <x:v>[]</x:v>
      </x:c>
      <x:c r="I268" s="7" t="str">
        <x:v>[]</x:v>
      </x:c>
      <x:c r="J268" s="7" t="str">
        <x:v>[]</x:v>
      </x:c>
      <x:c r="K268" s="7" t="str">
        <x:v>["ai_ml"]</x:v>
      </x:c>
      <x:c r="L268" s="7" t="str">
        <x:v>["ai_ml", "data_analysis", "data_engineering"]</x:v>
      </x:c>
      <x:c r="M268" s="7" t="str">
        <x:v>["ai_ml", "data_analysis", "data_engineering"]</x:v>
      </x:c>
      <x:c r="N268" s="7" t="str">
        <x:v>["ai_ml"]</x:v>
      </x:c>
      <x:c r="O268" s="7" t="str">
        <x:v>["title", "description"]</x:v>
      </x:c>
      <x:c r="P268" s="7" t="str">
        <x:v>[]</x:v>
      </x:c>
      <x:c r="Q268" s="8" t="str">
        <x:v>yes</x:v>
      </x:c>
      <x:c r="R268" s="8" t="str">
        <x:v>yes</x:v>
      </x:c>
      <x:c r="S268" s="8" t="str">
        <x:v>yes</x:v>
      </x:c>
      <x:c r="T268" s="7" t="str">
        <x:v>Reviewed against title, duties, mapped skills and detection sources.</x:v>
      </x:c>
    </x:row>
    <x:row r="269">
      <x:c r="A269" s="5" t="str">
        <x:v>ai_ml</x:v>
      </x:c>
      <x:c r="B269" s="5" t="str">
        <x:v>27851072</x:v>
      </x:c>
      <x:c r="C269" s="7" t="str">
        <x:v>Data Scientist H/F</x:v>
      </x:c>
      <x:c r="D269" s="7" t="str">
        <x:v>Our client is looking for a Data Scientist, who will participate in innovative projects on the optimization of wastewater treatment flows, advanced modeling of operations as well as the analysis and synthesis of operational data (reports, technical documents, industrial logs) using generative AI. Your main missions: Integrated Data &amp; AI, you will contribute to AI projects based on the problems of modeling, forecasting and optimization of physico-chemical parameters from wastewater treatment plants. As well as topics related to generative AI. Your missions will include: - Collection and cleaning of data from sensors, internal databases and operating histories. - Exploration of trends and identification of influential variables. - Implementation of Machine Learning algorithms for the prediction of physico-chemical parameters - Development of optimization models (linear programming, heuristics, simulation) in order to reduce the costs of reagents. - Creation of interactive dashboards to visualize data flows - Presentation of results to operational teams and proposals for improvement. - Technology monitoring and exploration of the latest approaches and techniques in the Machine Learning sector - Participate in the experimentation and implementation of generative AI models (e.g. GPT, diffusion-type models, transformers) to meet business needs (document analysis, generation of automated reports, assistance with technical writing, synthesis of information, etc.). - Participate in the production of prototypes in collaboration with the IT and business teams, while ensuring the quality, robustness and security of the solutions. - Document the work carried out and participate in training or internal workshops to disseminate good practices around GenAI tools. The development environment will be the Azure cloud with the internal CoDAI platform. With training such as an engineering school, a Master's degree in Data Science or Artificial Intelligence, you have a minimum of 3 years of experience in a similar position. Technical skills: - Mastery of Python and associated libraries (Pandas, NumPy, Scikit-learn, TensorFlow/PyTorch). - Knowledge of mathematical optimization - Experience with SQL databases and handling of massive data. API rest etc... - Data visualization skills (Matplotlib, Seaborn, Power BI, Tableau). - Natural language processing tools - Good understanding of DevOps practices, using Git for version control and continuous deployment. Qualities and abilities: - Analytical mind and scientific rigor. - Ability to solve complex problems and propose innovative solutions. - Good communication and ability to popularize technical concepts. - Autonomy and spirit of initiative. Benefits: 13th month, variable bonus, health and welfare expense plans, employee savings, shareholding, etc.</x:v>
      </x:c>
      <x:c r="E269" s="5" t="str">
        <x:v>32500.0</x:v>
      </x:c>
      <x:c r="F269" s="5" t="str">
        <x:v>258e46f9-0075-4a2e-adae-1ff0477e0f30</x:v>
      </x:c>
      <x:c r="G269" s="7" t="str">
        <x:v>["DevOps", "deliver visual presentation of data", "operational research", "participate in training sessions", "provide user documentation", "show initiative", "tools for software configuration management"]</x:v>
      </x:c>
      <x:c r="H269" s="7" t="str">
        <x:v>["DevOps"]</x:v>
      </x:c>
      <x:c r="I269" s="7" t="str">
        <x:v>["show initiative"]</x:v>
      </x:c>
      <x:c r="J269" s="7" t="str">
        <x:v>["cloud_devops"]</x:v>
      </x:c>
      <x:c r="K269" s="7" t="str">
        <x:v>["ai_ml", "data_analysis"]</x:v>
      </x:c>
      <x:c r="L269" s="7" t="str">
        <x:v>["ai_ml", "data_analysis", "cloud_devops"]</x:v>
      </x:c>
      <x:c r="M269" s="7" t="str">
        <x:v>["ai_ml", "cloud_devops", "data_analysis"]</x:v>
      </x:c>
      <x:c r="N269" s="7" t="str">
        <x:v>["ai_ml", "data_analysis", "cloud_devops"]</x:v>
      </x:c>
      <x:c r="O269" s="7" t="str">
        <x:v>["esco", "title", "description"]</x:v>
      </x:c>
      <x:c r="P269" s="7" t="str">
        <x:v>["initiative_responsibility"]</x:v>
      </x:c>
      <x:c r="Q269" s="8" t="str">
        <x:v>yes</x:v>
      </x:c>
      <x:c r="R269" s="8" t="str">
        <x:v>yes</x:v>
      </x:c>
      <x:c r="S269" s="8" t="str">
        <x:v>yes</x:v>
      </x:c>
      <x:c r="T269" s="7" t="str">
        <x:v>Reviewed against title, duties, mapped skills and detection sources.</x:v>
      </x:c>
    </x:row>
    <x:row r="270">
      <x:c r="A270" s="5" t="str">
        <x:v>ai_ml</x:v>
      </x:c>
      <x:c r="B270" s="5" t="str">
        <x:v>AA001395</x:v>
      </x:c>
      <x:c r="C270" s="7" t="str">
        <x:v>EXPERT TECHNIQUE IA F/H (HAUTE GARONNE)</x:v>
      </x:c>
      <x:c r="D270" s="7" t="str">
        <x:v>AI technical expert position to be filled within the National Information System Department (DNSI) of CDA France as part of a 1-year fixed-term contract potentially renewable, within a network of 8,000 employees spread across more than 100 establishments. The DNSI is called upon in the context of the emergence of growing needs for generative and predictive AI within the network of Chambers of Agriculture. In this context, DNSI is strengthening its resources in order to design a secure and efficient AI platform and develop its network services. Integrated into the Data Urbanization Pole in the Decision-making Information System Domain of the DNSI, in a team made up of 6 BI &amp; AI project managers / engineers / developers, you will carry out the following missions: In collaboration with BI &amp; AI engineers, participate in the design of the platform and the definition of technological orientations Develop solutions based on LLM Implement and optimize fine-tuning techniques (LoRA, QLoRA) Set up and use systems RAG (Retrieval Augmented Generation) Provide high-level technical support Optimize the performance and scalability of solutions Participate in the development of AI modules to be integrated into software Engineering or university training in data science at Bac+5 level Specialization in applied mathematics and computer science Practical experience with generative AI models Skills Expertise in LLM (GPT, Mistral, Llama, etc.) Mastery of LLM deployment infrastructures including RAG Mastery of Python and AI frameworks (TensorFlow, PyTorch, LangChain) Experience in fine-tuning models and deployment Mastery of SQL and knowledge of PostgreSQL Knowledge of BI infrastructures and interactions between AI and BI Data preparation skills Rigor and ability to keep commitments in terms of quality – cost – deadline Autonomy and ability to work in a team, particularly remotely Sense of service and customer/user relations Writing skills and proficiency in English, particularly technical and necessary for research and online support</x:v>
      </x:c>
      <x:c r="E270" s="5" t="str">
        <x:v>42000.0</x:v>
      </x:c>
      <x:c r="F270" s="5" t="str">
        <x:v>c3aae59e-1441-4b3e-bdd1-6da50dc7cf42</x:v>
      </x:c>
      <x:c r="G270" s="7" t="str">
        <x:v>["English", "define security policies"]</x:v>
      </x:c>
      <x:c r="H270" s="7" t="str">
        <x:v>[]</x:v>
      </x:c>
      <x:c r="I270" s="7" t="str">
        <x:v>[]</x:v>
      </x:c>
      <x:c r="J270" s="7" t="str">
        <x:v>[]</x:v>
      </x:c>
      <x:c r="K270" s="7" t="str">
        <x:v>["ai_ml"]</x:v>
      </x:c>
      <x:c r="L270" s="7" t="str">
        <x:v>["ai_ml", "data_analysis", "data_engineering"]</x:v>
      </x:c>
      <x:c r="M270" s="7" t="str">
        <x:v>["ai_ml", "data_analysis", "data_engineering"]</x:v>
      </x:c>
      <x:c r="N270" s="7" t="str">
        <x:v>["ai_ml"]</x:v>
      </x:c>
      <x:c r="O270" s="7" t="str">
        <x:v>["title", "description"]</x:v>
      </x:c>
      <x:c r="P270" s="7" t="str">
        <x:v>[]</x:v>
      </x:c>
      <x:c r="Q270" s="8" t="str">
        <x:v>yes</x:v>
      </x:c>
      <x:c r="R270" s="8" t="str">
        <x:v>yes</x:v>
      </x:c>
      <x:c r="S270" s="8" t="str">
        <x:v>yes</x:v>
      </x:c>
      <x:c r="T270" s="7" t="str">
        <x:v>Reviewed against title, duties, mapped skills and detection sources.</x:v>
      </x:c>
    </x:row>
    <x:row r="271">
      <x:c r="A271" s="5" t="str">
        <x:v>ai_ml</x:v>
      </x:c>
      <x:c r="B271" s="5" t="str">
        <x:v>6f4a5f2b-f694-401f-937d-3cbc391138f5</x:v>
      </x:c>
      <x:c r="C271" s="7" t="str">
        <x:v>Consultant.e Data Scientist F/H - Valoway</x:v>
      </x:c>
      <x:c r="D271" s="7" t="str">
        <x:v>We are exclusively looking for experienced profiles, with a minimum of 5 years of experience, capable of leading strategic projects from start to finish, in complete autonomy: from the definition of needs to the industrialization of solutions. - Develop and deploy NLP and generative AI solutions (LLMs, embeddings, conversational assistants, text generation, classification). - Design and then industrialize adapted, maintainable and efficient solutions, adopting an MLOps approach. - Create predictive and optimization models to respond to business challenges (forecasting, segmentation, automation). - Support DATA communities and professions in the adoption of good practices through: the framing of use cases, the conduct of experimental methodology, acculturation and ideation workshops, the transfer of skills to existing teams. - Carry out continuous monitoring and share on the state of the art of Data Science and Cloud Provider offers, to enrich our projects and contribute to collective intelligence - Promote our Microsoft partnership by integrating the latest Azure technological innovations into our solutions and by representing Valoway during events, webinars and communications. Our main technical environments: - Languages: Python, SQL, Spark, R. - Developer tools: IDE, GIT. - Visualization: Power BI, Tableau Software, Google Data Studio, Looker. - DeepLearning library: Keras, TensorFlow, Pytorch Would you like to know more about the Data Scientist position at Valoway? Our team talks about it best: Interview with Pierre, manager of the AI ​​division within Valoway What we offer: - An indicative salary between €50,000 and €60,000 gross annually (depending on experience and profile). - RTT and SWILE restaurant card. - An agile environment, with a hybrid working mode depending on the subjects to be carried out (Valoway offices, at the client's site, teleworking). - Local management and prospects for skills development with individualized support. - A company on a human scale and an approach based on proximity, with our customers and our collaborators. You have experience of at least 5 years, including: - Active participation in projects embedding AI and/or Machine Learning bricks, covering framing, development and industrialization. - Experience in Cloud environments, ideally Microsoft Azure. - An ability to popularize technical solutions for business teams and decision-makers, with a service and customer success-oriented approach. Joining us as a consultant at Valoway is also a state of mind: - Autonomy in customer relations - Spirit of initiative and curiosity - Collaboration and sense of sharing - Mobility to meet the needs of our customers (travel possible) Does this position suit you? Would you like to know more? Send us your application! Our recruitment process for this position: - An initial discussion with Emma, ​​our HR, to understand your project. - A second technical and cultural exchange with our consultants to discover our daily life and take you on board with our vision! - A final meeting with Louis-Vincent (founder) and Gwénolé (director) to share with you the challenges of Valoway. The average duration of the recruitment process is one month and can be adapted according to your obligations, we are flexible!</x:v>
      </x:c>
      <x:c r="E271" s="5" t="str">
        <x:v>55000.0</x:v>
      </x:c>
      <x:c r="F271" s="5" t="str">
        <x:v>258e46f9-0075-4a2e-adae-1ff0477e0f30</x:v>
      </x:c>
      <x:c r="G271" s="7" t="str">
        <x:v>["Agile development", "Python (computer programming)", "SQL", "build predictive models", "communication studies", "integrated development environment software", "make decisions"]</x:v>
      </x:c>
      <x:c r="H271" s="7" t="str">
        <x:v>["Python (computer programming)", "SQL"]</x:v>
      </x:c>
      <x:c r="I271" s="7" t="str">
        <x:v>["communication studies", "make decisions"]</x:v>
      </x:c>
      <x:c r="J271" s="7" t="str">
        <x:v>["data_analysis"]</x:v>
      </x:c>
      <x:c r="K271" s="7" t="str">
        <x:v>["ai_ml", "data_analysis"]</x:v>
      </x:c>
      <x:c r="L271" s="7" t="str">
        <x:v>["ai_ml", "data_analysis", "cloud_devops"]</x:v>
      </x:c>
      <x:c r="M271" s="7" t="str">
        <x:v>["ai_ml", "cloud_devops", "data_analysis"]</x:v>
      </x:c>
      <x:c r="N271" s="7" t="str">
        <x:v>["ai_ml", "data_analysis"]</x:v>
      </x:c>
      <x:c r="O271" s="7" t="str">
        <x:v>["esco", "title", "description"]</x:v>
      </x:c>
      <x:c r="P271" s="7" t="str">
        <x:v>["communication", "problem_solving"]</x:v>
      </x:c>
      <x:c r="Q271" s="8" t="str">
        <x:v>yes</x:v>
      </x:c>
      <x:c r="R271" s="8" t="str">
        <x:v>yes</x:v>
      </x:c>
      <x:c r="S271" s="8" t="str">
        <x:v>yes</x:v>
      </x:c>
      <x:c r="T271" s="7" t="str">
        <x:v>Reviewed against title, duties, mapped skills and detection sources.</x:v>
      </x:c>
    </x:row>
    <x:row r="272">
      <x:c r="A272" s="5" t="str">
        <x:v>ai_ml</x:v>
      </x:c>
      <x:c r="B272" s="5" t="str">
        <x:v>13069401-35</x:v>
      </x:c>
      <x:c r="C272" s="7" t="str">
        <x:v>Data scientist (H/F)</x:v>
      </x:c>
      <x:c r="D272" s="7" t="str">
        <x:v>By joining the Data Center, you will play a key role in the exploitation of customer data to optimize commercial performance, strengthen loyalty, and offer recommendations for strategic actions. Your missions will be as follows: Modeling / Data Science / AI: - Be lead or partner on Data Science projects - Frame business needs and prepare data (with Data Tech) - Build or optimize models pragmatically - Manage industrialization with Data Engineers and the IT department - Return results in an accessible manner to the teams concerned - Ensure RUN: performance monitoring, user support, maintenance - Contribute to the development of new AI use cases high value Collaboration with Group entities: - Work closely with business teams (marketing, distribution, logistics, etc.) - Understand their data needs (analysis, visualization, modeling) - Offer them a solution that meets these needs - Help business teams use the results for their strategic decisions and action plans. - Lead the relationship with one or more business teams (management of priorities and resources, regular review to ensure the satisfaction of the business team) Data Analysis: - Collect, prepare and analyze data from multiple sources. - Identify trends, disruptions, opportunities and levers of action. - Present your results in a clear and impactful way. Collaboration with the Data Technical team: - Participate in the quality and availability of data and tools - Contribute to the production of new tables or developments (data identification, CTI, recipe) - Apply best practices and strategy on the data stack, contribute to discussions on the subject. Process improvement: Be a force for proposals on improving team processes and collaborative working methods. The SIPA Ouest-France group is a major player in the field of information media. Historically built around the daily Ouest-France (1st national daily), the Group also publishes the platforms: ouest-france.fr, actu.fr and 20minutes.fr, several regional dailies (Ouest-France, Le Maine Libre, Courrier de l'Ouest, Presse Océan, La Presse de la Manche), more than 80 weeklies via Publihebdos as well as specialized magazines. The diversity of the Group's activities also extends to multi-media advertising (Additi group, Hebdos Communication), radio (Hit West, Cristal, Océane FM), and book publishing. Owned by the Association for the Support of the Principles of Humanist Democracy (ASPDH), law of 1901, the Group is distinguished by strong values ​​and clear commitments to respect for human beings and profits exclusively in the service of the development of information. INTRASIPA, the Group's expertise company, provides subsidiaries with cross-functional functions (Data, Cybersecurity, GDPR, R&amp;amp;D, Legal, Finance, Payroll, etc.). The Data Center, made up of around twenty employees (data analysts, data scientists, data visualization experts, web analysts), works with all Group entities and occupies a strategic role within the organization. We are looking for our future Data Analyst / Data Scientist on a permanent contract.</x:v>
      </x:c>
      <x:c r="E272" s="5" t="str">
        <x:v>44000.0</x:v>
      </x:c>
      <x:c r="F272" s="5" t="str">
        <x:v>258e46f9-0075-4a2e-adae-1ff0477e0f30</x:v>
      </x:c>
      <x:c r="G272" s="7" t="str">
        <x:v>["cyber security", "data engineering", "deliver visual presentation of data", "gather data", "logistics", "make strategic business decisions", "manage findable accessible interoperable and reusable data", "publishing market", "visual presentation techniques"]</x:v>
      </x:c>
      <x:c r="H272" s="7" t="str">
        <x:v>["cyber security", "data engineering"]</x:v>
      </x:c>
      <x:c r="I272" s="7" t="str">
        <x:v>[]</x:v>
      </x:c>
      <x:c r="J272" s="7" t="str">
        <x:v>["cybersecurity", "data_engineering"]</x:v>
      </x:c>
      <x:c r="K272" s="7" t="str">
        <x:v>["ai_ml", "data_analysis"]</x:v>
      </x:c>
      <x:c r="L272" s="7" t="str">
        <x:v>["data_analysis", "cybersecurity"]</x:v>
      </x:c>
      <x:c r="M272" s="7" t="str">
        <x:v>["ai_ml", "cybersecurity", "data_analysis", "data_engineering"]</x:v>
      </x:c>
      <x:c r="N272" s="7" t="str">
        <x:v>["ai_ml", "data_analysis", "cybersecurity"]</x:v>
      </x:c>
      <x:c r="O272" s="7" t="str">
        <x:v>["esco", "title", "description"]</x:v>
      </x:c>
      <x:c r="P272" s="7" t="str">
        <x:v>[]</x:v>
      </x:c>
      <x:c r="Q272" s="8" t="str">
        <x:v>yes</x:v>
      </x:c>
      <x:c r="R272" s="8" t="str">
        <x:v>yes</x:v>
      </x:c>
      <x:c r="S272" s="8" t="str">
        <x:v>yes</x:v>
      </x:c>
      <x:c r="T272" s="7" t="str">
        <x:v>Reviewed against title, duties, mapped skills and detection sources.</x:v>
      </x:c>
    </x:row>
    <x:row r="273">
      <x:c r="A273" s="5" t="str">
        <x:v>ai_ml</x:v>
      </x:c>
      <x:c r="B273" s="5" t="str">
        <x:v>27801886</x:v>
      </x:c>
      <x:c r="C273" s="7" t="str">
        <x:v>Data Architect / IA (F/H)</x:v>
      </x:c>
      <x:c r="D273" s="7" t="str">
        <x:v>Why do we need you? You will integrate a dynamic environment dealing with Data, AI and addressing all of the company's businesses. You will work in a Data ecosystem including, among other things, the best modern Data tools on the market. You will be at the heart of transformation projects, which started at the end of 2023 and will operate over the coming years as part of a very ambitious strategic plan. What do we expect from you? You will carry out the missions of Data Architect: - Take charge of project architecture files, guaranteeing consistency with the strategy, the architectural framework and the Data Heritage Roadmap. - Support Product Owners/Managers and business teams in the evolution of Data Heritage. - Identify architectural developments induced by new business uses. - Feed and carry architectural decisions into the Architecture Data Instance, or in the ad-hoc instances of the MACIF DSI. - Feed the Roadmap Data in its architectural dimension. - Provide technical and functional expertise on AI / MLOps subjects in the context of transformations linked to cloud migration (GCP) of Data Assets - Provide expertise in the integration of Data tools and their governance in the Data MACIF ecosystem. - Reference and update Data architecture patterns. - Promote the Data architecture framework to the Data Office, IT Department Architects and business teams. - Be on the lookout for trends and technological developments in Data solutions. You are a privileged contact for the professions and through your role, participate in informing the Group's strategic decisions to improve its performance thanks, among other things, to better exploitation, reliability and a quality path of Data. The essentials: - Minimum 5 years of experience in the field of data architecture. - Expertise in Google Cloud Platform data ecosystem solutions (GCS, BigQuery, Dataproc, Dataform, etc.) - Expertise in the implementation, deployment and industrialization of AI and MLOps solutions - Mastery of data processing patterns (ETL/ELT) and associated solutions in the MACIF context - Mastery of the integration patterns of data tools (Tableau Software, SAP BI, Starburst, Dataiku) with architectures underlying - Ability to lead, convince and obtain team buy-in on architectural choices. Additional information: - Salary: 40-55Keuros Depending on profile and seniority - Work from Monday to Friday (variable hours) - Annual package of 203 days worked (framework contract) - Possibility of teleworking 100 days/year (from 6 months of seniority, restaurant vouchers) - Company catering - Participation/Incentive - Diversified professional paths and an expanded training offer</x:v>
      </x:c>
      <x:c r="E273" s="5" t="str">
        <x:v>47500.0</x:v>
      </x:c>
      <x:c r="F273" s="5" t="str">
        <x:v>d3edb8f8-3a06-47a0-8fb9-9b212c006aa2</x:v>
      </x:c>
      <x:c r="G273" s="7" t="str">
        <x:v>["data extraction, transformation and loading tools", "data quality assessment"]</x:v>
      </x:c>
      <x:c r="H273" s="7" t="str">
        <x:v>[]</x:v>
      </x:c>
      <x:c r="I273" s="7" t="str">
        <x:v>[]</x:v>
      </x:c>
      <x:c r="J273" s="7" t="str">
        <x:v>[]</x:v>
      </x:c>
      <x:c r="K273" s="7" t="str">
        <x:v>["ai_ml", "data_engineering"]</x:v>
      </x:c>
      <x:c r="L273" s="7" t="str">
        <x:v>["ai_ml", "data_engineering", "cloud_devops"]</x:v>
      </x:c>
      <x:c r="M273" s="7" t="str">
        <x:v>["ai_ml", "cloud_devops", "data_engineering"]</x:v>
      </x:c>
      <x:c r="N273" s="7" t="str">
        <x:v>["ai_ml", "data_engineering"]</x:v>
      </x:c>
      <x:c r="O273" s="7" t="str">
        <x:v>["title", "description"]</x:v>
      </x:c>
      <x:c r="P273" s="7" t="str">
        <x:v>[]</x:v>
      </x:c>
      <x:c r="Q273" s="8" t="str">
        <x:v>yes</x:v>
      </x:c>
      <x:c r="R273" s="8" t="str">
        <x:v>yes</x:v>
      </x:c>
      <x:c r="S273" s="8" t="str">
        <x:v>yes</x:v>
      </x:c>
      <x:c r="T273" s="7" t="str">
        <x:v>Reviewed against title, duties, mapped skills and detection sources.</x:v>
      </x:c>
    </x:row>
    <x:row r="274">
      <x:c r="A274" s="5" t="str">
        <x:v>ai_ml</x:v>
      </x:c>
      <x:c r="B274" s="5" t="str">
        <x:v>korvh4nr71</x:v>
      </x:c>
      <x:c r="C274" s="7" t="str">
        <x:v>Business Applications &amp; Data Referent (CRM / DATA / AI / Power BI / BOARD) (M/F)</x:v>
      </x:c>
      <x:c r="D274" s="7" t="str">
        <x:v>RESPONSIBILITIES: The Key to Our Team: Your Role in Action You will be the discreet but essential architect of the link between businesses, data and tools. Each dashboard that you build, each training course that you run, each project that you manage will allow our teams to better manage their activity, to anticipate, to understand, to decide. You will make our data intelligible and our tools powerful. Located at the heart of our organization, you will be the referent for business applications: BOARD for finance, Power BI for visualization, and our Divalto CRM for commercial management. You have C# and SQL skills. You will be a true co-pilot for management, transforming needs into solutions, intuitions into concrete actions. Your role will not stop at support: you will be a trainer, a facilitator, an ambassador of data culture. You will guide the teams through digital developments, make the tools accessible, and support the changes with education and kindness. You will also be the driving force behind projects where you will take the lead, coordinate the stakeholders, ensure proper execution and stay focused on the expected results. Your appetite for innovation will also lead you towards AI and emerging solutions: automation, copilots, technology monitoring. You will be on alert to capture what can advance our practices. You are the future strong link in our team: You are passionate about information systems, data and their strategic value. You have already proven your ability to manage complex tools like BOARD or Power BI, to speak both the language of users and that of solutions. You have proven experience in a multicultural environment, are able to work in English and French, both written and oral. Your sense of service, your rigor and your desire to communicate make you a valued and respected interlocutor. You like well-executed projects, dashboards that speak, users who understand, tools that work and teams that move forward. You are looking for a position where you can contribute, structure and advance — in your image. PROFILE WANTED: Why join us? Because at Eléphant Vert, you will not simply be a link in the chain, but a central actor in our collective performance. You will work alongside passionate teams, in a group committed to sustainable and innovative agriculture, where data, technology and people meet to build a concrete impact. You will have the opportunity to shape tools, methods and projects that have a real impact on business management, decision-making and the success of commercial and financial teams. You will participate in a human and operational adventure where each project is meaningful, each dashboard sheds light on a strategy, each improvement facilitates the daily lives of dozens of employees. The position is based in MERDRIGNAC (22) / Hybrid teleworking Join ÉLÉPHANT VERT to be part of a company that is committed to sustainable and innovative agriculture. Join ÉLÉPHANT VERT to be part of a company committed to sustainable and innovative agriculture.</x:v>
      </x:c>
      <x:c r="E274" s="5" t="str">
        <x:v>40000.0</x:v>
      </x:c>
      <x:c r="F274" s="5" t="str">
        <x:v>8b6388a4-4904-471b-9331-d3b1211f5525</x:v>
      </x:c>
      <x:c r="G274" s="7" t="str">
        <x:v>["make decisions", "manage project information", "speak different languages", "visual presentation techniques"]</x:v>
      </x:c>
      <x:c r="H274" s="7" t="str">
        <x:v>[]</x:v>
      </x:c>
      <x:c r="I274" s="7" t="str">
        <x:v>["make decisions"]</x:v>
      </x:c>
      <x:c r="J274" s="7" t="str">
        <x:v>[]</x:v>
      </x:c>
      <x:c r="K274" s="7" t="str">
        <x:v>["ai_ml"]</x:v>
      </x:c>
      <x:c r="L274" s="7" t="str">
        <x:v>["data_analysis", "software"]</x:v>
      </x:c>
      <x:c r="M274" s="7" t="str">
        <x:v>["ai_ml", "data_analysis", "software"]</x:v>
      </x:c>
      <x:c r="N274" s="7" t="str">
        <x:v>["ai_ml"]</x:v>
      </x:c>
      <x:c r="O274" s="7" t="str">
        <x:v>["title", "description"]</x:v>
      </x:c>
      <x:c r="P274" s="7" t="str">
        <x:v>["problem_solving"]</x:v>
      </x:c>
      <x:c r="Q274" s="8" t="str">
        <x:v>yes</x:v>
      </x:c>
      <x:c r="R274" s="8" t="str">
        <x:v>no</x:v>
      </x:c>
      <x:c r="S274" s="8" t="str">
        <x:v>yes</x:v>
      </x:c>
      <x:c r="T274" s="7" t="str">
        <x:v>Business applications/Power BI/SQL role: λείπουν data analysis και software από τη strict κατηγοριοποίηση.</x:v>
      </x:c>
    </x:row>
    <x:row r="275">
      <x:c r="A275" s="5" t="str">
        <x:v>ai_ml</x:v>
      </x:c>
      <x:c r="B275" s="5" t="str">
        <x:v>y5kv6gj25h</x:v>
      </x:c>
      <x:c r="C275" s="7" t="str">
        <x:v>Tech Lead Data and Generative AI H/F</x:v>
      </x:c>
      <x:c r="D275" s="7" t="str">
        <x:v>RESPONSIBILITIES: We are looking for a Data and Generative AI Tech Lead capable of finding innovative and robust solutions to all Data issues. You will be responsible for: • Ensuring the implementation of access, referencing and data quality • Ensuring the industrialization, supervision and integration of solutions • Writing development standards • Participating in the drafting of the operations manual As a Tech Lead, you know how to: • Present and promote data architectures to the customer • Identify and understand business needs • Train, supervise and develop junior consultants • Participate in responding to calls for tenders (pre-sales) PROFILE WANTED: As a Tech Lead Data &amp; GEN AI you master: • Prompt Engineering, RAG, LLM, Agentique IA (ChatGPT, Claude Sonnet, Gemini, Mistral IA...) • SQL language • An object language (Python, JAVA, Scala) • A distributed calculation framework • A message bus: Kafka, RabbitMQ • Power tools data: Talend, Matillion, Stambia • Search engines: ELK suite (ElasticSearch, Logstash, Kibana), SolR, Cloud services • Data storage: object and/or distributed storage (HDFS, deltalake or blob/S3) • Continuous integration (Git, JUnit, SonarQube, Jenkins) • A cloud provider (AWS, GCP, Azure) or a Big Data distribution (Hortonworks, Cloudera, Datastax) • The concepts of relational and non-relational modeling Graduate from an engineering school or university, you have at least 5 years of professional experience in a Data project context. Rigorous, proactive and autonomous, you remain on technological watch and are proactive. You are able to gain height and adapt to the challenges of the project.</x:v>
      </x:c>
      <x:c r="E275" s="5" t="str">
        <x:v>57500.0</x:v>
      </x:c>
      <x:c r="F275" s="5" t="str">
        <x:v>d3edb8f8-3a06-47a0-8fb9-9b212c006aa2</x:v>
      </x:c>
      <x:c r="G275" s="7" t="str">
        <x:v>["Java (computer programming)", "Jenkins (tools for software configuration management)", "SQL", "data models", "data quality assessment", "supervise employees in food production plants", "supervision of persons"]</x:v>
      </x:c>
      <x:c r="H275" s="7" t="str">
        <x:v>["Java (computer programming)", "Jenkins (tools for software configuration management)", "SQL"]</x:v>
      </x:c>
      <x:c r="I275" s="7" t="str">
        <x:v>["supervise employees in food production plants"]</x:v>
      </x:c>
      <x:c r="J275" s="7" t="str">
        <x:v>["cloud_devops", "data_analysis", "software"]</x:v>
      </x:c>
      <x:c r="K275" s="7" t="str">
        <x:v>["ai_ml"]</x:v>
      </x:c>
      <x:c r="L275" s="7" t="str">
        <x:v>["ai_ml", "software", "cloud_devops"]</x:v>
      </x:c>
      <x:c r="M275" s="7" t="str">
        <x:v>["ai_ml", "cloud_devops", "data_analysis", "software"]</x:v>
      </x:c>
      <x:c r="N275" s="7" t="str">
        <x:v>["ai_ml", "software", "cloud_devops"]</x:v>
      </x:c>
      <x:c r="O275" s="7" t="str">
        <x:v>["esco", "title", "description"]</x:v>
      </x:c>
      <x:c r="P275" s="7" t="str">
        <x:v>["leadership"]</x:v>
      </x:c>
      <x:c r="Q275" s="8" t="str">
        <x:v>yes</x:v>
      </x:c>
      <x:c r="R275" s="8" t="str">
        <x:v>yes</x:v>
      </x:c>
      <x:c r="S275" s="8" t="str">
        <x:v>yes</x:v>
      </x:c>
      <x:c r="T275" s="7" t="str">
        <x:v>Reviewed against title, duties, mapped skills and detection sources.</x:v>
      </x:c>
    </x:row>
    <x:row r="276">
      <x:c r="A276" s="5" t="str">
        <x:v>ai_ml</x:v>
      </x:c>
      <x:c r="B276" s="5" t="str">
        <x:v>SKA-00063</x:v>
      </x:c>
      <x:c r="C276" s="7" t="str">
        <x:v>Director of Business Unit Data &amp; AI (Nantes) - M/F</x:v>
      </x:c>
      <x:c r="D276" s="7" t="str">
        <x:v>Description: Our client, a data and artificial intelligence consulting firm, is looking for a Data &amp; AI Business Unit Director to support the opening of an office in Nantes (location to be defined within a coworking space or business center). Based in the west of France, the company now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Nantes agency marks a key step in the growth of the firm, already commercially present in the western region. The objective: to strengthen customer proximity and develop a sustainable local presence. Your main missions: Develop the activity in Nantes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Nantes team in the medium term, with the support of headquarters. Position based in Nantes, with occasional trips to the company's headquarters and to clients in the western region.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76" s="5" t="str">
        <x:v>110000.0</x:v>
      </x:c>
      <x:c r="F276" s="5" t="str">
        <x:v>e297ec12-4712-40a4-ad98-ba004cacb205</x:v>
      </x:c>
      <x:c r="G276" s="7" t="str">
        <x:v>["assume responsibility", "engage local communities in the management of natural protected areas", "give live presentation", "lead a team", "operations management", "patient autonomy", "predictive maintenance", "show entrepreneurial spirit"]</x:v>
      </x:c>
      <x:c r="H276" s="7" t="str">
        <x:v>[]</x:v>
      </x:c>
      <x:c r="I276" s="7" t="str">
        <x:v>["assume responsibility", "lead a team"]</x:v>
      </x:c>
      <x:c r="J276" s="7" t="str">
        <x:v>[]</x:v>
      </x:c>
      <x:c r="K276" s="7" t="str">
        <x:v>["ai_ml"]</x:v>
      </x:c>
      <x:c r="L276" s="7" t="str">
        <x:v>["ai_ml"]</x:v>
      </x:c>
      <x:c r="M276" s="7" t="str">
        <x:v>["ai_ml"]</x:v>
      </x:c>
      <x:c r="N276" s="7" t="str">
        <x:v>["ai_ml"]</x:v>
      </x:c>
      <x:c r="O276" s="7" t="str">
        <x:v>["title", "description"]</x:v>
      </x:c>
      <x:c r="P276" s="7" t="str">
        <x:v>["initiative_responsibility", "leadership"]</x:v>
      </x:c>
      <x:c r="Q276" s="8" t="str">
        <x:v>yes</x:v>
      </x:c>
      <x:c r="R276" s="8" t="str">
        <x:v>yes</x:v>
      </x:c>
      <x:c r="S276" s="8" t="str">
        <x:v>yes</x:v>
      </x:c>
      <x:c r="T276" s="7" t="str">
        <x:v>Reviewed against title, duties, mapped skills and detection sources.</x:v>
      </x:c>
    </x:row>
    <x:row r="277">
      <x:c r="A277" s="5" t="str">
        <x:v>ai_ml</x:v>
      </x:c>
      <x:c r="B277" s="5" t="str">
        <x:v>azze49zinx</x:v>
      </x:c>
      <x:c r="C277" s="7" t="str">
        <x:v>Post-doctoral researcher AI molecular modeling F/M</x:v>
      </x:c>
      <x:c r="D277" s="7" t="str">
        <x:v>RESPONSIBILITIES: Scientific research: • You implement and analyze multi-scale molecular simulations (all-atom and large-grain) of amyloidogenic peptides interacting with lipid membranes • You study the mechanisms of peptide aggregation, membrane insertion and the relationships between lipid composition and toxicity • You develop and apply simulation trajectory analysis methods • You integrate artificial intelligence and machine learning methods to link properties membranes, aggregation behaviors and toxicity • You contribute to the definition and validation of a lipid risk score assisted by AI • You participate in the writing of scientific publications, communications and project reports Teaching and training: • You contribute to the development of short teaching modules intended for bachelor's, master's, doctoral students and researchers • You rely on the data and results of the project to illustrate: the contribution of molecular simulations, the added value of AI in research health, the study of pathophysiology mechanisms and the identification of therapeutic avenues • You occasionally participate in training or scientific mediation actions on a fixed-term contract as part of a project contract. Methods of evaluation and control of the result: Evaluation carried out by managers during regular interviews PROFILE DESIRED: Recommended training: PhD in molecular modeling, physical chemistry, bioinformatics, chemistry or closely related discipline • Experience in molecular dynamics simulations, with GROMACS or equivalent software • Solid expertise or demonstrated interest in membrane biophysics, protein–lipid interactions or research on amyloids • Python programming skills (NumPy, pandas, MDAnalysis, scikit-learn), considered as added value • Basic to intermediate knowledge in machine learning, particularly in dimension reduction, clustering or deep learning • Strong scientific creativity, ability to work autonomously and collaboratively in an interdisciplinary and international research environment • Communication skills in English, both written and oral Beginner accepted A first experience in the field of higher education or training would be desirable More information: 12-month project fixed-term contract to be filled ideally from 04/1/2026 to 03/31/2027 Position based within the Collège Santé - 146 rue Léo Saignat - Bordeaux - Tram A, "Hôpital Pellegrin" stop, bus, parking dedicated to staff, bicycle Fixed remuneration: €2,751 gross monthly according to the contractual researchers' grid Benefits linked to the position: • 50 days of annual leave from the first year • 75% of the Gironde public transport subscription • Participation in mutual insurance at €15/month • Subsidized catering • Leisure, sport and cultural offers for all staff • “Sustainable mobility” package for travel between home and work • Welcome and training course Recruitment process: after the period of publication of the advertisement, we will contact the selected candidates for an interview organized with the candidate(s) manager(s) and the recruitment manager. Tip: your cover letter is read and provides us with additional information to your CV!</x:v>
      </x:c>
      <x:c r="E277" s="5" t="str">
        <x:v>33012.0</x:v>
      </x:c>
      <x:c r="F277" s="5" t="str">
        <x:v>3af4d6be-90b5-41f6-be06-3330dab3df73</x:v>
      </x:c>
      <x:c r="G277" s="7" t="str">
        <x:v>["communication studies", "perform scientific research", "recruit employees", "toxicology", "types of evaluation "]</x:v>
      </x:c>
      <x:c r="H277" s="7" t="str">
        <x:v>[]</x:v>
      </x:c>
      <x:c r="I277" s="7" t="str">
        <x:v>["communication studies"]</x:v>
      </x:c>
      <x:c r="J277" s="7" t="str">
        <x:v>[]</x:v>
      </x:c>
      <x:c r="K277" s="7" t="str">
        <x:v>["ai_ml"]</x:v>
      </x:c>
      <x:c r="L277" s="7" t="str">
        <x:v>["ai_ml", "data_analysis"]</x:v>
      </x:c>
      <x:c r="M277" s="7" t="str">
        <x:v>["ai_ml", "data_analysis"]</x:v>
      </x:c>
      <x:c r="N277" s="7" t="str">
        <x:v>["ai_ml"]</x:v>
      </x:c>
      <x:c r="O277" s="7" t="str">
        <x:v>["title", "description"]</x:v>
      </x:c>
      <x:c r="P277" s="7" t="str">
        <x:v>["communication"]</x:v>
      </x:c>
      <x:c r="Q277" s="8" t="str">
        <x:v>yes</x:v>
      </x:c>
      <x:c r="R277" s="8" t="str">
        <x:v>yes</x:v>
      </x:c>
      <x:c r="S277" s="8" t="str">
        <x:v>yes</x:v>
      </x:c>
      <x:c r="T277" s="7" t="str">
        <x:v>Reviewed against title, duties, mapped skills and detection sources.</x:v>
      </x:c>
    </x:row>
    <x:row r="278">
      <x:c r="A278" s="5" t="str">
        <x:v>ai_ml</x:v>
      </x:c>
      <x:c r="B278" s="5" t="str">
        <x:v>201SNBT</x:v>
      </x:c>
      <x:c r="C278" s="7" t="str">
        <x:v>AI Developer Engineer - Gateway Security (M/F)</x:v>
      </x:c>
      <x:c r="D278" s="7" t="str">
        <x:v>Inspira City, a subsidiary specializing in embedded electronics and IoT solutions, is recruiting an engineer developer in artificial intelligence to strengthen its research and development activities around securing IoT gateways intended for controlling urban lighting. The position is part of a context of innovative projects linked to connected infrastructures and the cybersecurity of communicating objects. Main activities: * Develop artificial intelligence algorithms applied to the security of IoT systems * Implement solutions for detecting anomalies and suspicious behavior on IoT gateways * Participate in securing data flows between embedded equipment and remote systems * Design, test and optimize analysis and classification models * Collaborate with the systems, embedded and firmware teams * Write technical documentation related to the developments carried out Profile sought: Training: Bac+5 (school engineer or master's degree) in computer science, artificial intelligence, cybersecurity or embedded systems Technical skills: Software development (Python essential, C/C++ appreciated) Knowledge of artificial intelligence / machine learning Strong interest in cybersecurity and IoT environments Professional qualities: Rigor and sense of analysis Autonomy and ability to work in a team Curiosity and taste for innovation Initial experience in IoT, applied AI or computer security is appreciated.</x:v>
      </x:c>
      <x:c r="E278" s="5" t="str">
        <x:v>30000.0</x:v>
      </x:c>
      <x:c r="F278" s="5" t="str">
        <x:v>35553663-deab-4d9a-bf22-15c1625d28e8</x:v>
      </x:c>
      <x:c r="G278" s="7" t="str">
        <x:v>["cyber security", "innovate in ICT", "promote innovative infrastructure design"]</x:v>
      </x:c>
      <x:c r="H278" s="7" t="str">
        <x:v>["cyber security"]</x:v>
      </x:c>
      <x:c r="I278" s="7" t="str">
        <x:v>[]</x:v>
      </x:c>
      <x:c r="J278" s="7" t="str">
        <x:v>["cybersecurity"]</x:v>
      </x:c>
      <x:c r="K278" s="7" t="str">
        <x:v>["ai_ml"]</x:v>
      </x:c>
      <x:c r="L278" s="7" t="str">
        <x:v>["ai_ml", "software", "cybersecurity"]</x:v>
      </x:c>
      <x:c r="M278" s="7" t="str">
        <x:v>["ai_ml", "cybersecurity", "software"]</x:v>
      </x:c>
      <x:c r="N278" s="7" t="str">
        <x:v>["ai_ml", "cybersecurity"]</x:v>
      </x:c>
      <x:c r="O278" s="7" t="str">
        <x:v>["esco", "title", "description"]</x:v>
      </x:c>
      <x:c r="P278" s="7" t="str">
        <x:v>[]</x:v>
      </x:c>
      <x:c r="Q278" s="8" t="str">
        <x:v>yes</x:v>
      </x:c>
      <x:c r="R278" s="8" t="str">
        <x:v>yes</x:v>
      </x:c>
      <x:c r="S278" s="8" t="str">
        <x:v>yes</x:v>
      </x:c>
      <x:c r="T278" s="7" t="str">
        <x:v>Reviewed against title, duties, mapped skills and detection sources.</x:v>
      </x:c>
    </x:row>
    <x:row r="279">
      <x:c r="A279" s="5" t="str">
        <x:v>ai_ml</x:v>
      </x:c>
      <x:c r="B279" s="5" t="str">
        <x:v>9057124a-d268-47e1-9d12-02a0c27aeb0e</x:v>
      </x:c>
      <x:c r="C279" s="7" t="str">
        <x:v>Teach lead architecte front / UI &amp; IA agentique (F/H)</x:v>
      </x:c>
      <x:c r="D279" s="7" t="str">
        <x:v>Description of the company My client is a computer engineering company founded in 2009, a catalyst for innovation serving the planet. For more than 10 years, she has designed information systems with high data volumes for projects with high environmental, industrial and societal value. Its achievements include complex data visualization platforms on a European scale, data-driven applications facilitating the analysis and exploration of massive data, as well as advanced user interfaces for critical and open source systems. Missions • Define and support the front-end architecture of complex applications with high data implications. • Design efficient, ergonomic and scalable interfaces. • Technically supervise the team (code reviews, best practices, UI standards). • Be a force for proposals on UX/UI choices, performance and accessibility. • Participate in front-end development (Angular / TypeScript) on structuring subjects. • Collaborate with back-end teams for smooth integration (API, GraphQL, WebSocket). • Design POCs integrating agentic AI (intelligent assistants, UI automation, data exploration assistance). • Contribute to product innovation in line with customer needs. Profile sought: Profile sought You are an IT engineer and have at least 5 years of experience in Tech Lead or Front / Full-stack Architect roles with a dominant front-end role. • Excellent command of modern front-end development (Angular 18/20, TypeScript). • Solid expertise in front architecture, performance and modularity. • Strong UX/UI sensitivity and user-oriented interface design. • Good understanding of APIs and back-end systems (Java/Spring Boot, GraphQL, WebSocket). • Experience with data-intensive applications. • Marked interest in agentic AI applied to interfaces. • Experience in code review, mentoring and technical leadership. • Very good communication skills. Other information • Teleworking: 3 to 4 days per month (negotiable). • Salary: from €50K, depending on profile and experience. • Location: Martigné-sur-Mayenne (53).</x:v>
      </x:c>
      <x:c r="E279" s="5" t="str">
        <x:v>55000.0</x:v>
      </x:c>
      <x:c r="F279" s="5" t="str">
        <x:v>a7c1d23d-aeca-4bee-9a08-5993ed98b135</x:v>
      </x:c>
      <x:c r="G279" s="7" t="str">
        <x:v>["Open source model", "TypeScript", "deliver visual presentation of data", "ergonomics", "test system accessibility for users with special needs"]</x:v>
      </x:c>
      <x:c r="H279" s="7" t="str">
        <x:v>["TypeScript"]</x:v>
      </x:c>
      <x:c r="I279" s="7" t="str">
        <x:v>[]</x:v>
      </x:c>
      <x:c r="J279" s="7" t="str">
        <x:v>["software"]</x:v>
      </x:c>
      <x:c r="K279" s="7" t="str">
        <x:v>["ai_ml"]</x:v>
      </x:c>
      <x:c r="L279" s="7" t="str">
        <x:v>["software"]</x:v>
      </x:c>
      <x:c r="M279" s="7" t="str">
        <x:v>["ai_ml", "software"]</x:v>
      </x:c>
      <x:c r="N279" s="7" t="str">
        <x:v>["ai_ml", "software"]</x:v>
      </x:c>
      <x:c r="O279" s="7" t="str">
        <x:v>["esco", "title", "description"]</x:v>
      </x:c>
      <x:c r="P279" s="7" t="str">
        <x:v>[]</x:v>
      </x:c>
      <x:c r="Q279" s="8" t="str">
        <x:v>yes</x:v>
      </x:c>
      <x:c r="R279" s="8" t="str">
        <x:v>yes</x:v>
      </x:c>
      <x:c r="S279" s="8" t="str">
        <x:v>yes</x:v>
      </x:c>
      <x:c r="T279" s="7" t="str">
        <x:v>Reviewed against title, duties, mapped skills and detection sources.</x:v>
      </x:c>
    </x:row>
    <x:row r="280">
      <x:c r="A280" s="5" t="str">
        <x:v>ai_ml</x:v>
      </x:c>
      <x:c r="B280" s="5" t="str">
        <x:v>27898833</x:v>
      </x:c>
      <x:c r="C280" s="7" t="str">
        <x:v>Head of Research in Applied AI (M/F)</x:v>
      </x:c>
      <x:c r="D280" s="7" t="str">
        <x:v>Domino RH is recruiting for one of its clients a Research Manager M/F specialized in computer vision and AI applied to Cartography in Montpellier Nord (34) Your missions will be: - Define and plan research projects in accordance with the strategy defined by the company - Coordinate a team of researchers and engineers specialized in deep learning and signal processing. - Define algorithmic architectures for image and point cloud processing. - Optimize the performance of algorithms in C++ and Python - Supervise the design and validation of experimental protocols - Guarantee the quality of deliverables and compliance with deadlines - Develop academic and industrial partnerships - Participate in the drafting and filing of patents and scientific publications - Monitor and optimize the key performance indicators of R&amp;D projects - Ensure scientific and technological monitoring Conditions: Executive status 37 hours per week with 12 days of RTT per year. Remuneration: depending on experience profile between 50K and 60KEUR gross Benefits: Restaurant vouchers + CSE (badminton, yoga, swimming, climbing, etc.) + Green mobility bonus + Incentive bonus + Mutual and employee pension 100% covered by the company. You have at least 8 years of experience in R&amp;D, including 3 to 5 years in team management. You have initial experience in Lidar and AI applied to Cartography. You master the C++ language and you have good knowledge of Python and AI frameworks. You are bilingual in English.</x:v>
      </x:c>
      <x:c r="E280" s="5" t="str">
        <x:v>52500.0</x:v>
      </x:c>
      <x:c r="F280" s="5" t="str">
        <x:v>3dab5c3f-84d0-4d52-901d-dd262eaea509</x:v>
      </x:c>
      <x:c r="G280" s="7" t="str">
        <x:v>["C++", "Python (computer programming)", "climb trees", "write research proposals"]</x:v>
      </x:c>
      <x:c r="H280" s="7" t="str">
        <x:v>["C++", "Python (computer programming)"]</x:v>
      </x:c>
      <x:c r="I280" s="7" t="str">
        <x:v>[]</x:v>
      </x:c>
      <x:c r="J280" s="7" t="str">
        <x:v>["data_analysis", "software"]</x:v>
      </x:c>
      <x:c r="K280" s="7" t="str">
        <x:v>["ai_ml"]</x:v>
      </x:c>
      <x:c r="L280" s="7" t="str">
        <x:v>["ai_ml", "software"]</x:v>
      </x:c>
      <x:c r="M280" s="7" t="str">
        <x:v>["ai_ml", "data_analysis", "software"]</x:v>
      </x:c>
      <x:c r="N280" s="7" t="str">
        <x:v>["ai_ml", "software"]</x:v>
      </x:c>
      <x:c r="O280" s="7" t="str">
        <x:v>["esco", "title", "description"]</x:v>
      </x:c>
      <x:c r="P280" s="7" t="str">
        <x:v>[]</x:v>
      </x:c>
      <x:c r="Q280" s="8" t="str">
        <x:v>yes</x:v>
      </x:c>
      <x:c r="R280" s="8" t="str">
        <x:v>yes</x:v>
      </x:c>
      <x:c r="S280" s="8" t="str">
        <x:v>yes</x:v>
      </x:c>
      <x:c r="T280" s="7" t="str">
        <x:v>Reviewed against title, duties, mapped skills and detection sources.</x:v>
      </x:c>
    </x:row>
    <x:row r="281">
      <x:c r="A281" s="5" t="str">
        <x:v>ai_ml</x:v>
      </x:c>
      <x:c r="B281" s="5" t="str">
        <x:v>27679987</x:v>
      </x:c>
      <x:c r="C281" s="7" t="str">
        <x:v>Manager Data science &amp; generative AI F/M</x:v>
      </x:c>
      <x:c r="D281" s="7" t="str">
        <x:v>Rattaché(e) au responsable de pôle Data de l'agence Conseil &amp; Expertise de la région Grand Ouest au sein de Orange Business, vous prenez en charge plusieurs missions en tant que Manager Data science &amp; IA Générative. The Consulting &amp; Expertise agency is a transversal entity at the regional level composed exclusively of Managers and Experts. This role is for you if: You have strong leadership in order to carry a vision around Data Science and generative AI You feel like a conductor who facilitates interactions and encourages team dynamics by getting personally involved when necessary, You have strong convictions and are ready to disseminate them to our clients and our colleagues You have advanced technological fiber. Your role, based on the 5 pillars of the agency, will be: Carry out consulting and delivery missions Be able to design and build a project from the following elements One or more Cloud environment(s) (Azure, GCP, AWS, ...)? and associated services (Microsoft Fabric, VertexAI, ...) DevOps principles ... One or more languages around Generative AI (Python, OpenAI, LangGraph, Qdrant, OpenWebUI, ...) Advise in the choice of solutions and the creation of algorithms: costing, Coordinate teams and provide support to consultants Contribute to the animation of experts Actively participate in the agency project, its influence, the capitalization of know-how and the sharing of good practices, Support the Experts through the co-animation of our community or the organization of internal events, Participate in the individual monitoring of employees. Listen to employees, their appetites, training or developments, Manage skills development and the passage of certifications for our Data science and AI offers throughout the region, Contribute to the recruitment of teams. Provide pre-sales support Detect commercial opportunities for the projects on which you will work Support salespeople when responding to calls for tenders Contribute to the consistency and regional variation of partnerships With a Bac+5 IT background, you have at least 8 years of experience in consulting and implementing data and AI projects You have a strong appetite for subjects around generative AI You are recognized for your leadership and your ability to create of the bond within your team. You have a strategic vision and know how to make decisions to drive growth and achieve your objectives. You demonstrate autonomy and strength of proposal on all the tasks entrusted to you. You want to participate in the transfer of technical and functional knowledge to employees and customers. You have significant experience in developing and leading a commercial offer, you enjoy teamwork and have a strong capacity for adaptation. Your team spirit will promote your integration within the Data division of the Conseil &amp; Expertise agency.</x:v>
      </x:c>
      <x:c r="E281" s="5" t="str">
        <x:v>50000.0</x:v>
      </x:c>
      <x:c r="F281" s="5" t="str">
        <x:v>e297ec12-4712-40a4-ad98-ba004cacb205</x:v>
      </x:c>
      <x:c r="G281" s="7" t="str">
        <x:v>["DevOps", "build trust", "communicate with customers", "data models", "develop personal skills"]</x:v>
      </x:c>
      <x:c r="H281" s="7" t="str">
        <x:v>["DevOps"]</x:v>
      </x:c>
      <x:c r="I281" s="7" t="str">
        <x:v>["communicate with customers"]</x:v>
      </x:c>
      <x:c r="J281" s="7" t="str">
        <x:v>["cloud_devops"]</x:v>
      </x:c>
      <x:c r="K281" s="7" t="str">
        <x:v>["ai_ml"]</x:v>
      </x:c>
      <x:c r="L281" s="7" t="str">
        <x:v>["ai_ml", "data_analysis", "cloud_devops"]</x:v>
      </x:c>
      <x:c r="M281" s="7" t="str">
        <x:v>["ai_ml", "cloud_devops", "data_analysis"]</x:v>
      </x:c>
      <x:c r="N281" s="7" t="str">
        <x:v>["ai_ml", "cloud_devops"]</x:v>
      </x:c>
      <x:c r="O281" s="7" t="str">
        <x:v>["esco", "title", "description"]</x:v>
      </x:c>
      <x:c r="P281" s="7" t="str">
        <x:v>["communication", "customer_interaction"]</x:v>
      </x:c>
      <x:c r="Q281" s="8" t="str">
        <x:v>yes</x:v>
      </x:c>
      <x:c r="R281" s="8" t="str">
        <x:v>yes</x:v>
      </x:c>
      <x:c r="S281" s="8" t="str">
        <x:v>yes</x:v>
      </x:c>
      <x:c r="T281" s="7" t="str">
        <x:v>Reviewed against title, duties, mapped skills and detection sources.</x:v>
      </x:c>
    </x:row>
    <x:row r="282">
      <x:c r="A282" s="5" t="str">
        <x:v>ai_ml</x:v>
      </x:c>
      <x:c r="B282" s="5" t="str">
        <x:v>AA001401</x:v>
      </x:c>
      <x:c r="C282" s="7" t="str">
        <x:v>EXPERT TECHNIQUE IA F/H (LOIRE ATLANTIQUE)</x:v>
      </x:c>
      <x:c r="D282" s="7" t="str">
        <x:v>AI technical expert position to be filled within the National Information System Department (DNSI) of CDA France as part of a 1-year fixed-term contract potentially renewable, within a network of 8,000 employees spread across more than 100 establishments. The DNSI is called upon in the context of the emergence of growing needs for generative and predictive AI within the network of Chambers of Agriculture. In this context, DNSI is strengthening its resources in order to design a secure and efficient AI platform and develop its network services. Integrated into the Data Urbanization Pole in the Decision-making Information System Domain of the DNSI, in a team made up of 6 BI &amp; AI project managers / engineers / developers, you will carry out the following missions: In collaboration with BI &amp; AI engineers, participate in the design of the platform and the definition of technological orientations Develop solutions based on LLM Implement and optimize fine-tuning techniques (LoRA, QLoRA) Set up and use systems RAG (Retrieval Augmented Generation) Provide high-level technical support Optimize the performance and scalability of solutions Participate in the development of AI modules to be integrated into software Engineering or university training in data science at Bac+5 level Specialization in applied mathematics and computer science Practical experience with generative AI models Skills Expertise in LLM (GPT, Mistral, Llama, etc.) Mastery of LLM deployment infrastructures including RAG Mastery of Python and AI frameworks (TensorFlow, PyTorch, LangChain) Experience in fine-tuning models and deployment Mastery of SQL and knowledge of PostgreSQL Knowledge of BI infrastructures and interactions between AI and BI Data preparation skills Rigor and ability to keep commitments in terms of quality – cost – deadline Autonomy and ability to work in a team, particularly remotely Sense of service and customer/user relations Writing skills and proficiency in English, particularly technical and necessary for research and online support</x:v>
      </x:c>
      <x:c r="E282" s="5" t="str">
        <x:v>42000.0</x:v>
      </x:c>
      <x:c r="F282" s="5" t="str">
        <x:v>c3aae59e-1441-4b3e-bdd1-6da50dc7cf42</x:v>
      </x:c>
      <x:c r="G282" s="7" t="str">
        <x:v>["English", "define security policies"]</x:v>
      </x:c>
      <x:c r="H282" s="7" t="str">
        <x:v>[]</x:v>
      </x:c>
      <x:c r="I282" s="7" t="str">
        <x:v>[]</x:v>
      </x:c>
      <x:c r="J282" s="7" t="str">
        <x:v>[]</x:v>
      </x:c>
      <x:c r="K282" s="7" t="str">
        <x:v>["ai_ml"]</x:v>
      </x:c>
      <x:c r="L282" s="7" t="str">
        <x:v>["ai_ml", "data_analysis", "data_engineering"]</x:v>
      </x:c>
      <x:c r="M282" s="7" t="str">
        <x:v>["ai_ml", "data_analysis", "data_engineering"]</x:v>
      </x:c>
      <x:c r="N282" s="7" t="str">
        <x:v>["ai_ml"]</x:v>
      </x:c>
      <x:c r="O282" s="7" t="str">
        <x:v>["title", "description"]</x:v>
      </x:c>
      <x:c r="P282" s="7" t="str">
        <x:v>[]</x:v>
      </x:c>
      <x:c r="Q282" s="8" t="str">
        <x:v>yes</x:v>
      </x:c>
      <x:c r="R282" s="8" t="str">
        <x:v>yes</x:v>
      </x:c>
      <x:c r="S282" s="8" t="str">
        <x:v>yes</x:v>
      </x:c>
      <x:c r="T282" s="7" t="str">
        <x:v>Reviewed against title, duties, mapped skills and detection sources.</x:v>
      </x:c>
    </x:row>
    <x:row r="283">
      <x:c r="A283" s="5" t="str">
        <x:v>ai_ml</x:v>
      </x:c>
      <x:c r="B283" s="5" t="str">
        <x:v>27878558</x:v>
      </x:c>
      <x:c r="C283" s="7" t="str">
        <x:v>IT Project Manager - F/M</x:v>
      </x:c>
      <x:c r="D283" s="7" t="str">
        <x:v>COEXYA RENNES BONUSES - A hybrid working mode: up to 10 days of flexible teleworking per month - Local management and regular training to support your development (Escales by Coexya program, serious games, tech workshops, agility, soft skills, etc.) - An agency with the majority of our fixed-price projects within our premises (little management for an ESN) - A personalized integration course, over several months, including a welcome pack upon your arrival - An executive pleasant and rejuvenating work environment: leisure room (ping-pong, darts, etc.), nap rooms and regular afterworks. Parc des Gayeulles and sports halls just a stone's throw away, convenient for working out during your lunch break and taking advantage of the showers within our premises - A soft mobility program: electric bikes and cars, reimbursement of 75% of the public transport subscription, or the possibility of benefiting from a mobility package amounting to 30EUR per month - 40% of employees are shareholders, strengthening collective commitment and corporate dynamics - Finally, technical, sporting and friendly events: hackathons, blindtests, poker, badminton tournament, Breton puck... CONTEXT Within our Smart Data center you will join a community of around 25 people, spread between the Lyon and Rennes sites. By joining us you will actively contribute to shaping the future of intelligent data management in constantly evolving contexts. With 15 years of commitment, your future team has positioned itself as an expert in the valorization of unstructured information, exploiting innovative technologies such as search engines, Natural Language Processing, Machine Learning and Artificial Intelligence benefiting greatly from current advances in Large Language Models. WHAT WE OFFER YOU You will work directly with the division director - Gaël, the division's project managers and your team (business analyst, architect and developers), with a dual objective: ensuring the success of the project as well as supporting the teams. Your missions will be as follows: - Participate in the pre-sales phases: respond to calls for tenders, carry out costings and contribute to the development of the commercial relationship - Understand the functional and technical context of the project: understand the specific challenges of the customers to propose adapted solutions - Support the project team - Manage the progress of the projects: monitor the progress of the teams, ensure compliance with contractual commitments - Ensure customer relations: participate in contractual and financial negotiations, ensure customer satisfaction and the quality of the relationship WHAT IS EXPECTED OF YOU - You have at least 5 years of experience in IT development project management, with commitment to results (fixed-price project), ideally within a Web environment, on JEE or .NET platforms. - You master project management methodologies, whether the V-cycle or agile approaches. And humanly? - You practice local management, making yourself available to your teams. - You have a strong capacity for analysis and synthesis, and demonstrate rigor and consistency in monitoring progress. - You know how to demonstrate conviction in your discussions and negotiations with customers, while remaining dynamic, positive and enthusiastic. - You have a sense of community, and above all... a bit of humor. RECRUITMENT PATHWAY It is divided into 4 stages: - A video exchange of approximately 30 minutes with a person from the recruitment team (Héloïse or Floriane); - An interview with Gaël - head of the division and Dimitri - Project manager, to discuss your respective visions of the position; - A final exchange with your future director - Edouard, to talk about your professional desires and the prospects offered within the agency; - If we continue together, you will meet your future colleagues through a visit to our Rennes premises. Do you recognize yourself? Join our team!</x:v>
      </x:c>
      <x:c r="E283" s="5" t="str">
        <x:v>47500.0</x:v>
      </x:c>
      <x:c r="F283" s="5" t="str">
        <x:v>8b6388a4-4904-471b-9331-d3b1211f5525</x:v>
      </x:c>
      <x:c r="G283" s="7" t="str">
        <x:v>["Agile development", "ensure compliance with warranty contracts", "guarantee customer satisfaction", "natural language processing", "negotiate price", "project management methodology (PM²)", "technical terminology"]</x:v>
      </x:c>
      <x:c r="H283" s="7" t="str">
        <x:v>["natural language processing"]</x:v>
      </x:c>
      <x:c r="I283" s="7" t="str">
        <x:v>["negotiate price"]</x:v>
      </x:c>
      <x:c r="J283" s="7" t="str">
        <x:v>["ai_ml"]</x:v>
      </x:c>
      <x:c r="K283" s="7" t="str">
        <x:v>[]</x:v>
      </x:c>
      <x:c r="L283" s="7" t="str">
        <x:v>["ai_ml", "software"]</x:v>
      </x:c>
      <x:c r="M283" s="7" t="str">
        <x:v>["ai_ml", "software"]</x:v>
      </x:c>
      <x:c r="N283" s="7" t="str">
        <x:v>["ai_ml"]</x:v>
      </x:c>
      <x:c r="O283" s="7" t="str">
        <x:v>["esco", "description"]</x:v>
      </x:c>
      <x:c r="P283" s="7" t="str">
        <x:v>["communication"]</x:v>
      </x:c>
      <x:c r="Q283" s="8" t="str">
        <x:v>yes</x:v>
      </x:c>
      <x:c r="R283" s="8" t="str">
        <x:v>yes</x:v>
      </x:c>
      <x:c r="S283" s="8" t="str">
        <x:v>yes</x:v>
      </x:c>
      <x:c r="T283" s="7" t="str">
        <x:v>Reviewed against title, duties, mapped skills and detection sources.</x:v>
      </x:c>
    </x:row>
    <x:row r="284">
      <x:c r="A284" s="5" t="str">
        <x:v>ai_ml</x:v>
      </x:c>
      <x:c r="B284" s="5" t="str">
        <x:v>201TJVJ</x:v>
      </x:c>
      <x:c r="C284" s="7" t="str">
        <x:v>Data scientist (H/F)</x:v>
      </x:c>
      <x:c r="D284" s="7" t="str">
        <x:v>Missions: Define image selection strategies intended for training deep learning models, in line with the needs of AI projects Check the consistency and general quality of data Analyze the impact of data on the performance and robustness of models Collaborate with technical and business teams involved in the development of AI solutions Profile sought: Knowledge of deep learning (TensorFlow, PyTorch) and data analysis Rigor and attention to detail Interest in research Bac+5 training or even doctorate in computer science</x:v>
      </x:c>
      <x:c r="E284" s="5" t="str">
        <x:v>42500.0</x:v>
      </x:c>
      <x:c r="F284" s="5" t="str">
        <x:v>258e46f9-0075-4a2e-adae-1ff0477e0f30</x:v>
      </x:c>
      <x:c r="G284" s="7" t="str">
        <x:v>[]</x:v>
      </x:c>
      <x:c r="H284" s="7" t="str">
        <x:v>[]</x:v>
      </x:c>
      <x:c r="I284" s="7" t="str">
        <x:v>[]</x:v>
      </x:c>
      <x:c r="J284" s="7" t="str">
        <x:v>[]</x:v>
      </x:c>
      <x:c r="K284" s="7" t="str">
        <x:v>["ai_ml", "data_analysis"]</x:v>
      </x:c>
      <x:c r="L284" s="7" t="str">
        <x:v>["ai_ml", "data_analysis"]</x:v>
      </x:c>
      <x:c r="M284" s="7" t="str">
        <x:v>["ai_ml", "data_analysis"]</x:v>
      </x:c>
      <x:c r="N284" s="7" t="str">
        <x:v>["ai_ml", "data_analysis"]</x:v>
      </x:c>
      <x:c r="O284" s="7" t="str">
        <x:v>["title", "description"]</x:v>
      </x:c>
      <x:c r="P284" s="7" t="str">
        <x:v>[]</x:v>
      </x:c>
      <x:c r="Q284" s="8" t="str">
        <x:v>yes</x:v>
      </x:c>
      <x:c r="R284" s="8" t="str">
        <x:v>yes</x:v>
      </x:c>
      <x:c r="S284" s="8" t="str">
        <x:v>yes</x:v>
      </x:c>
      <x:c r="T284" s="7" t="str">
        <x:v>Reviewed against title, duties, mapped skills and detection sources.</x:v>
      </x:c>
    </x:row>
    <x:row r="285">
      <x:c r="A285" s="5" t="str">
        <x:v>ai_ml</x:v>
      </x:c>
      <x:c r="B285" s="5" t="str">
        <x:v>27869928</x:v>
      </x:c>
      <x:c r="C285" s="7" t="str">
        <x:v>Lead Developer Fullstack C# .Net - F/H</x:v>
      </x:c>
      <x:c r="D285" s="7" t="str">
        <x:v>COEXYA RENNES BONUSES - A team of 130 people in Rennes, within a group of 1,000 people in France - A personalized integration course over several months with a welcome pack upon your arrival - Local management and regular training to support your career ("Escales by Coexya" program with technical challenge, serious game, and workshops around tech, agility and soft kils subjects) - Encouragement for eco-responsible travel (public transport reimbursement up to 75%, electric bike/car option with charging station on site) - Technical, sporting and friendly events to strengthen cohesion: coding battle, blindtest, poker, bad tournament, shuffleboard at lunchtime, etc. - Teleworking possible (hybrid), RTT, restaurant vouchers, employee savings and other benefits CONTEXT We are looking for a Lead Fullstack Developer - F/M to join our team of 25 people, spread between Lyon and Rennes, within the Coexya Smart Data division. With 15 years of experience, we integrate enterprise search engine solutions and implement various use cases around Natural Language Processing, Machine Learning and Artificial Intelligence, including Large Language Models (like GPT or Mixtral). WHAT WE OFFER YOU You will evolve in a recent and constantly evolving technical ecosystem: o Front-end: Angular/AngularJS o Backend: C# / .NET You will be part of a team of 3 to 5 enthusiasts and will contribute to the development of search engine solutions for our clients. You will have the opportunity to: - Design and implement tailor-made solutions to meet the needs of our customers; - Write detailed technical specifications; - Supervise and ensure the quality of the code produced by our development team; - Integrate the latest technological advances into our projects; - Become a technical referent for our teams; - Take charge of the Sinequa search engine solution to exploit its potential to the maximum. On a daily basis, you will be supported by Hervé, Aurèle and Frederic, architects and experienced project managers to develop your skills according to your desires. Depending on your ambitions, this Lead Developer position can evolve into an architect position. WHAT WE EXPECT OF YOU - You have at least 5 years of experience in web application development (preferably under a C# .Net platform); - You have initial experience on the front-end part of a solution; - Ideally, you are interested in data analysis, Natural Language Processing, automatic text generation (LLM) and machine learning; - You have team spirit, like to help your colleagues progress and above all, you have a bit of humor. RECRUITMENT PATHWAY It is divided into 4 stages: - A first exchange (around 20 minutes) with a person from the Rennes recruitment team (Héloïse or Floriane); - An interview with Gaël - head of the division, and Hervé - architect, to discuss your respective visions of the position; - A final discussion with your future director, Edouard Barthuet, to talk about your professional desires and the prospects offered within the agency; - Meeting with the teams in Rennes and visit to our premises. Do you recognize yourself? Join our team!</x:v>
      </x:c>
      <x:c r="E285" s="5" t="str">
        <x:v>47500.0</x:v>
      </x:c>
      <x:c r="F285" s="5" t="str">
        <x:v>f2b15a0e-e65a-438a-affb-29b9d50b77d1</x:v>
      </x:c>
      <x:c r="G285" s="7" t="str">
        <x:v>["define technical requirements", "natural language processing"]</x:v>
      </x:c>
      <x:c r="H285" s="7" t="str">
        <x:v>["natural language processing"]</x:v>
      </x:c>
      <x:c r="I285" s="7" t="str">
        <x:v>[]</x:v>
      </x:c>
      <x:c r="J285" s="7" t="str">
        <x:v>["ai_ml"]</x:v>
      </x:c>
      <x:c r="K285" s="7" t="str">
        <x:v>["software"]</x:v>
      </x:c>
      <x:c r="L285" s="7" t="str">
        <x:v>["ai_ml", "data_analysis", "software"]</x:v>
      </x:c>
      <x:c r="M285" s="7" t="str">
        <x:v>["ai_ml", "data_analysis", "software"]</x:v>
      </x:c>
      <x:c r="N285" s="7" t="str">
        <x:v>["ai_ml", "software"]</x:v>
      </x:c>
      <x:c r="O285" s="7" t="str">
        <x:v>["esco", "title", "description"]</x:v>
      </x:c>
      <x:c r="P285" s="7" t="str">
        <x:v>[]</x:v>
      </x:c>
      <x:c r="Q285" s="8" t="str">
        <x:v>yes</x:v>
      </x:c>
      <x:c r="R285" s="8" t="str">
        <x:v>yes</x:v>
      </x:c>
      <x:c r="S285" s="8" t="str">
        <x:v>yes</x:v>
      </x:c>
      <x:c r="T285" s="7" t="str">
        <x:v>Reviewed against title, duties, mapped skills and detection sources.</x:v>
      </x:c>
    </x:row>
    <x:row r="286">
      <x:c r="A286" s="5" t="str">
        <x:v>ai_ml</x:v>
      </x:c>
      <x:c r="B286" s="5" t="str">
        <x:v>SKA-00062</x:v>
      </x:c>
      <x:c r="C286" s="7" t="str">
        <x:v>Director of Business Unit Data &amp; AI (Paris) - M/F</x:v>
      </x:c>
      <x:c r="D286" s="7" t="str">
        <x:v>Description: Our client, a data and artificial intelligence consulting firm, is looking for a Data &amp; AI Business Unit Director to support the opening of an office in Paris (location to be defined within a coworking space or WeWork type business center). Based in the region, less than 2 hours from Paris by TGV, the company today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Parisian agency marks a key step in the growth of the firm, already present commercially in Île-de-France. The objective: to strengthen customer proximity and develop a sustainable local presence. Your main missions: Develop the activity in Paris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Parisian team in the medium term, with the support of the company's headquarters. Position based in Paris, with occasional trips to the company's headquarters (in the regions, less than 2 hours from Paris by train) and to clients in Île-de-France.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86" s="5" t="str">
        <x:v>110000.0</x:v>
      </x:c>
      <x:c r="F286" s="5" t="str">
        <x:v>e297ec12-4712-40a4-ad98-ba004cacb205</x:v>
      </x:c>
      <x:c r="G286" s="7" t="str">
        <x:v>["assume responsibility", "engage local communities in the management of natural protected areas", "give live presentation", "lead a team", "operations management", "patient autonomy", "predictive maintenance", "show entrepreneurial spirit"]</x:v>
      </x:c>
      <x:c r="H286" s="7" t="str">
        <x:v>[]</x:v>
      </x:c>
      <x:c r="I286" s="7" t="str">
        <x:v>["assume responsibility", "lead a team"]</x:v>
      </x:c>
      <x:c r="J286" s="7" t="str">
        <x:v>[]</x:v>
      </x:c>
      <x:c r="K286" s="7" t="str">
        <x:v>["ai_ml"]</x:v>
      </x:c>
      <x:c r="L286" s="7" t="str">
        <x:v>["ai_ml"]</x:v>
      </x:c>
      <x:c r="M286" s="7" t="str">
        <x:v>["ai_ml"]</x:v>
      </x:c>
      <x:c r="N286" s="7" t="str">
        <x:v>["ai_ml"]</x:v>
      </x:c>
      <x:c r="O286" s="7" t="str">
        <x:v>["title", "description"]</x:v>
      </x:c>
      <x:c r="P286" s="7" t="str">
        <x:v>["initiative_responsibility", "leadership"]</x:v>
      </x:c>
      <x:c r="Q286" s="8" t="str">
        <x:v>yes</x:v>
      </x:c>
      <x:c r="R286" s="8" t="str">
        <x:v>yes</x:v>
      </x:c>
      <x:c r="S286" s="8" t="str">
        <x:v>yes</x:v>
      </x:c>
      <x:c r="T286" s="7" t="str">
        <x:v>Reviewed against title, duties, mapped skills and detection sources.</x:v>
      </x:c>
    </x:row>
    <x:row r="287">
      <x:c r="A287" s="5" t="str">
        <x:v>ai_ml</x:v>
      </x:c>
      <x:c r="B287" s="5" t="str">
        <x:v>lea_262001idia_1771842634</x:v>
      </x:c>
      <x:c r="C287" s="7" t="str">
        <x:v>Data &amp; AI Engineer M/F</x:v>
      </x:c>
      <x:c r="D287" s="7" t="str">
        <x:v>LEA Recrutement presents a new job offer: permanent contract with end customer. Our partner is looking for a Data &amp; AI Engineer M/F to support the development of its medical devices in Montpellier. You will join a multidisciplinary R&amp;D team, with a cross-functional role combining data science, applied AI and software engineering. Your role and missions: * Develop AI models integrated into products. * Design intelligent tools for internal teams. * Structure, process and enhance data. * Create robust pipelines, AI agents and automated solutions. * Support teams in the use of AI tools. The advantages on the business side: * Mutual insurance, restaurant vouchers, RTT * International and stimulating environment * Impactful projects in the field of health! Apply! LEA RECRUITMENT What we expect from you: * Bac+5 or doctorate in data science, statistics or equivalent. * 2 to 3 years of experience in AI, ML or data-driven development. * Good Python and/or C# skills * Knowledge of machine learning, signal processing, NLP * Curiosity, innovative spirit, practical sense and pedagogy.</x:v>
      </x:c>
      <x:c r="E287" s="5" t="str">
        <x:v>37500.0</x:v>
      </x:c>
      <x:c r="F287" s="5" t="str">
        <x:v>f2b15a0e-e65a-438a-affb-29b9d50b77d1</x:v>
      </x:c>
      <x:c r="G287" s="7" t="str">
        <x:v>["pedagogy"]</x:v>
      </x:c>
      <x:c r="H287" s="7" t="str">
        <x:v>[]</x:v>
      </x:c>
      <x:c r="I287" s="7" t="str">
        <x:v>[]</x:v>
      </x:c>
      <x:c r="J287" s="7" t="str">
        <x:v>[]</x:v>
      </x:c>
      <x:c r="K287" s="7" t="str">
        <x:v>["ai_ml"]</x:v>
      </x:c>
      <x:c r="L287" s="7" t="str">
        <x:v>["ai_ml", "data_analysis", "software"]</x:v>
      </x:c>
      <x:c r="M287" s="7" t="str">
        <x:v>["ai_ml", "data_analysis", "software"]</x:v>
      </x:c>
      <x:c r="N287" s="7" t="str">
        <x:v>["ai_ml"]</x:v>
      </x:c>
      <x:c r="O287" s="7" t="str">
        <x:v>["title", "description"]</x:v>
      </x:c>
      <x:c r="P287" s="7" t="str">
        <x:v>[]</x:v>
      </x:c>
      <x:c r="Q287" s="8" t="str">
        <x:v>yes</x:v>
      </x:c>
      <x:c r="R287" s="8" t="str">
        <x:v>yes</x:v>
      </x:c>
      <x:c r="S287" s="8" t="str">
        <x:v>yes</x:v>
      </x:c>
      <x:c r="T287" s="7" t="str">
        <x:v>Reviewed against title, duties, mapped skills and detection sources.</x:v>
      </x:c>
    </x:row>
    <x:row r="288">
      <x:c r="A288" s="5" t="str">
        <x:v>ai_ml</x:v>
      </x:c>
      <x:c r="B288" s="5" t="str">
        <x:v>21Talents347-----</x:v>
      </x:c>
      <x:c r="C288" s="7" t="str">
        <x:v>Senior Director of AI Projects – Digital Transformation-M/F</x:v>
      </x:c>
      <x:c r="D288" s="7" t="str">
        <x:v>Description: artificial intelligence designed to transform the customer journeys and internal processes of our insurance partners. Your main responsibilities: Define the vision and objectives of AI projects: business framework, ROI, roadmap, budget. Lead agile delivery (Scrum/Kanban): backlog, user stories, prioritization by value, arbitrations. Coordinate multidisciplinary teams (product, data, IT, AI partners) and ensure commitments are met. Manage AI publishers and service providers: expression of needs, negotiation, monitoring of SLAs and KPIs. Guarantee functional and ethical quality: correct response rate, performance, GDPR/DPIA compliance. Supervise the testing, production and transition to run phases. Ensure executive reporting: performance indicators, adoption, ROI, user satisfaction. Key objectives at 12 months Production of an in-app AI assistant with ≥85% sourced correct answers and latency &amp;lt;2 s. Measurable improvement in automated conversion and reduction of human escalations. Implementation of an automated commission tracking dashboard. Standardization of the AI ​​deployment framework to accelerate the onboarding of new customers. Requirements: 8 to 12 years of experience in digital or AI project management, including at least 3 years in the insurance or brokerage sector. Proven leadership in managing complex projects and in an agile environment. Excellent communication, analysis and decision-making skills. Solid understanding of AI issues (LLM, RAG, quality, risks, ethics). Mastery of economic management (budget, margin, business case). Fluent French and professional English essential. Benefits: Participation in large-scale AI projects at the heart of the transformation of the health insurance sector. Hybrid work environment offering flexibility and autonomy. Benevolent and collaborative management, results-oriented and skills development. Continuing training in the latest AI technologies and advanced agile practices. Attractive remuneration, composed of a competitive fixed and a variable indexed to performance. Stimulating work environment, promoting innovation, taking initiative and rapid progression. Ethical and responsible corporate culture, promoting diversity and work/life balance.</x:v>
      </x:c>
      <x:c r="E288" s="5" t="str">
        <x:v>106000.0</x:v>
      </x:c>
      <x:c r="F288" s="5" t="str">
        <x:v>a7c1d23d-aeca-4bee-9a08-5993ed98b135</x:v>
      </x:c>
      <x:c r="G288" s="7" t="str">
        <x:v>["Agile development", "Agile project management", "French", "develop personal skills", "identify digital competence gaps", "innovation processes", "manage water quality testing", "meet commitments", "negotiate compromises", "patient autonomy", "show initiative"]</x:v>
      </x:c>
      <x:c r="H288" s="7" t="str">
        <x:v>[]</x:v>
      </x:c>
      <x:c r="I288" s="7" t="str">
        <x:v>["innovation processes", "meet commitments", "negotiate compromises", "show initiative"]</x:v>
      </x:c>
      <x:c r="J288" s="7" t="str">
        <x:v>[]</x:v>
      </x:c>
      <x:c r="K288" s="7" t="str">
        <x:v>["ai_ml"]</x:v>
      </x:c>
      <x:c r="L288" s="7" t="str">
        <x:v>["ai_ml"]</x:v>
      </x:c>
      <x:c r="M288" s="7" t="str">
        <x:v>["ai_ml"]</x:v>
      </x:c>
      <x:c r="N288" s="7" t="str">
        <x:v>["ai_ml"]</x:v>
      </x:c>
      <x:c r="O288" s="7" t="str">
        <x:v>["title", "description"]</x:v>
      </x:c>
      <x:c r="P288" s="7" t="str">
        <x:v>["communication", "creativity", "initiative_responsibility"]</x:v>
      </x:c>
      <x:c r="Q288" s="8" t="str">
        <x:v>yes</x:v>
      </x:c>
      <x:c r="R288" s="8" t="str">
        <x:v>yes</x:v>
      </x:c>
      <x:c r="S288" s="8" t="str">
        <x:v>yes</x:v>
      </x:c>
      <x:c r="T288" s="7" t="str">
        <x:v>Reviewed against title, duties, mapped skills and detection sources.</x:v>
      </x:c>
    </x:row>
    <x:row r="289">
      <x:c r="A289" s="5" t="str">
        <x:v>ai_ml</x:v>
      </x:c>
      <x:c r="B289" s="5" t="str">
        <x:v>27604828</x:v>
      </x:c>
      <x:c r="C289" s="7" t="str">
        <x:v>Voice AI &amp; Workstation Agentification Project Manager F/M</x:v>
      </x:c>
      <x:c r="D289" s="7" t="str">
        <x:v>Assistance publique-Hôpitaux de Paris (AP-HP) is a world-renowned university hospital center with a European dimension. Its 38 hospitals welcome 10 million sick people each year: in consultation, in emergencies, during scheduled hospitalizations or in hospitalization at home. It provides a public health service for all, 24 hours a day, and for it it is both a duty and a source of pride. The AP-HP is the largest employer in Ile-de-France: 100,000 people - doctors, researchers, paramedics, administrative staff and workers - work there. At the heart of the Institution, the AP-HP Headquarters brings together under the same perimeter the functional departments and the establishments attached to it: CFDC (Training and Skills Development Centers), ACHAT (Central Hotel Food and Technical Purchasing), DRCI (Department of Clinical Research and Innovation) and DSN (Digital Services Department). With its 4,000 employees, the Headquarters plays the role of expert, pilot and coordinator for all hospitals. Committed to innovative and strategic projects serving patients, the AP-HP is now looking for new talents to carry out its mission. Are you one of them? Come join us! We are looking for a Voice AI &amp; Workstation Agentification project manager to join the Collaborative Tools &amp; Support team in the SIRHOCCOM domain (HRIS, collaborative tools and communication) of the AP-HP DSN. You will be in charge of the complete management of the deployment of VocalSoft v10 (voice assistant for dictation and transcription), the supervision of associated architectural subjects and the implementation of application developments. At the same time, you will develop the agentification of the workplace by managing all projects related to AI agents and digital assistants. You will be the cross-functional AI referent across the SIRHOCCOM domain. Main missions: Manage AI and digital agent projects, from expression of need to deployment. Identify relevant use cases of AI in hospital services (voice dictation, automatic summary, writing assistance, etc.) and conduct continuous monitoring of AI technologies to propose new uses. Manage voice recognition and ambient listening projects and applications (Nuance, Nabla, Corti, VocalSoft, etc.) as well as AI agent and multimodal assistant projects (text, voice, image, video) including ChatGPT, Le Chat, etc. Define the workstation agentification strategy, design the deployment tools and documentation made available to hospital groups. Create and distribute training materials, guides and user documentation; lead design workshops and change management Ideally, you have... An engineering degree or equivalent (Mathematics, Computer Science, Public Health, etc.) Professional experience in the technical management of IT projects, ideally in the hospital sector. Knowledge of Voice AI tools (natural language processing) A strong interest in applied AI technologies: agents, co-pilots, voice assistants, etc. You have a good knowledge of: On project management methodologies (V-cycle, Scrum, Agile) Implementation of management tools / dashboards On the operation of the hospital In good security practices In IT regulations and freedoms And on a human level? you are... Endowed with relational and communication qualities: knowing how to listen, dialogue, argue by adapting to all the interlocutors, demonstrating self-control and diplomacy Endowed with oral and writing skills Organized, rigorous and methodical Flexible, you adapt to your environment Motivated and are interested in the field of health Curious by nature, you like to discover and learn all the days</x:v>
      </x:c>
      <x:c r="E289" s="5" t="str">
        <x:v>60000.0</x:v>
      </x:c>
      <x:c r="F289" s="5" t="str">
        <x:v>8b6388a4-4904-471b-9331-d3b1211f5525</x:v>
      </x:c>
      <x:c r="G289" s="7" t="str">
        <x:v>["apply change management", "create training materials", "professional documentation in health care", "provide user documentation", "public health", "scientific computing", "solution deployment", "teach writing"]</x:v>
      </x:c>
      <x:c r="H289" s="7" t="str">
        <x:v>[]</x:v>
      </x:c>
      <x:c r="I289" s="7" t="str">
        <x:v>[]</x:v>
      </x:c>
      <x:c r="J289" s="7" t="str">
        <x:v>[]</x:v>
      </x:c>
      <x:c r="K289" s="7" t="str">
        <x:v>["ai_ml"]</x:v>
      </x:c>
      <x:c r="L289" s="7" t="str">
        <x:v>["ai_ml"]</x:v>
      </x:c>
      <x:c r="M289" s="7" t="str">
        <x:v>["ai_ml"]</x:v>
      </x:c>
      <x:c r="N289" s="7" t="str">
        <x:v>["ai_ml"]</x:v>
      </x:c>
      <x:c r="O289" s="7" t="str">
        <x:v>["title", "description"]</x:v>
      </x:c>
      <x:c r="P289" s="7" t="str">
        <x:v>[]</x:v>
      </x:c>
      <x:c r="Q289" s="8" t="str">
        <x:v>yes</x:v>
      </x:c>
      <x:c r="R289" s="8" t="str">
        <x:v>yes</x:v>
      </x:c>
      <x:c r="S289" s="8" t="str">
        <x:v>yes</x:v>
      </x:c>
      <x:c r="T289" s="7" t="str">
        <x:v>Reviewed against title, duties, mapped skills and detection sources.</x:v>
      </x:c>
    </x:row>
    <x:row r="290">
      <x:c r="A290" s="5" t="str">
        <x:v>ai_ml</x:v>
      </x:c>
      <x:c r="B290" s="5" t="str">
        <x:v>202GNSP</x:v>
      </x:c>
      <x:c r="C290" s="7" t="str">
        <x:v>AI project manager (M/F)</x:v>
      </x:c>
      <x:c r="D290" s="7" t="str">
        <x:v>As an MOA AI Project Manager, you are responsible for the functional management and coordination of the actors in our ecosystem: On the build side: - Frame business needs around AI and chatbot use cases - Manage the functional and technical roadmap in connection with the MOE - Prioritize projects and guarantee the adequacy between needs and developed solution - Monitor developments and deliverables - Organize and produce functional recipes - Participate in structuring and enriching the knowledge base - Coordinate business workshops with stakeholders - Contribute to the implementation of systems for capturing user irritants Run side: - Ensure operational monitoring of the solution after production - Analyze user feedback and propose areas for improvement - Monitor and manage performance indicators (KPI) - Measure the effectiveness and ROI of the AI solution - Support the adoption of the chatbot via communication actions - Coordinate functional developments with technical teams - Guarantee the overall consistency of the solution in the existing ecosystem This is your background You have at least 7 years of experience. You like to manage cross-functional projects, make the link between professions and technology, without ever stopping innovating. You are looking for a setting where your ideas count and where technology goes hand in hand with collaboration. This is your expertise: - Agile / DevOps environments - Generative AI, chatbot, RAG (Retrieval-Augmented Generation) - Collaborative and project management tools (JIRA, Confluence) - Cloud environments and application architectures - Documentary bases (SharePoint) and ITSM tools</x:v>
      </x:c>
      <x:c r="E290" s="5" t="str">
        <x:v>43000.0</x:v>
      </x:c>
      <x:c r="F290" s="5" t="str">
        <x:v>bea99fea-0383-4c63-b944-70d4799de2c5</x:v>
      </x:c>
      <x:c r="G290" s="7" t="str">
        <x:v>["create new recipes", "knowledge base", "project configuration management"]</x:v>
      </x:c>
      <x:c r="H290" s="7" t="str">
        <x:v>[]</x:v>
      </x:c>
      <x:c r="I290" s="7" t="str">
        <x:v>[]</x:v>
      </x:c>
      <x:c r="J290" s="7" t="str">
        <x:v>[]</x:v>
      </x:c>
      <x:c r="K290" s="7" t="str">
        <x:v>["ai_ml"]</x:v>
      </x:c>
      <x:c r="L290" s="7" t="str">
        <x:v>["ai_ml", "cloud_devops"]</x:v>
      </x:c>
      <x:c r="M290" s="7" t="str">
        <x:v>["ai_ml", "cloud_devops"]</x:v>
      </x:c>
      <x:c r="N290" s="7" t="str">
        <x:v>["ai_ml"]</x:v>
      </x:c>
      <x:c r="O290" s="7" t="str">
        <x:v>["title", "description"]</x:v>
      </x:c>
      <x:c r="P290" s="7" t="str">
        <x:v>[]</x:v>
      </x:c>
      <x:c r="Q290" s="8" t="str">
        <x:v>yes</x:v>
      </x:c>
      <x:c r="R290" s="8" t="str">
        <x:v>yes</x:v>
      </x:c>
      <x:c r="S290" s="8" t="str">
        <x:v>yes</x:v>
      </x:c>
      <x:c r="T290" s="7" t="str">
        <x:v>Reviewed against title, duties, mapped skills and detection sources.</x:v>
      </x:c>
    </x:row>
    <x:row r="291">
      <x:c r="A291" s="5" t="str">
        <x:v>ai_ml</x:v>
      </x:c>
      <x:c r="B291" s="5" t="str">
        <x:v>SKA-00064</x:v>
      </x:c>
      <x:c r="C291" s="7" t="str">
        <x:v>Responsible Practice Data / IA (Nantes) - H/F</x:v>
      </x:c>
      <x:c r="D291" s="7" t="str">
        <x:v>Description: Our client, a data and artificial intelligence consulting firm, is looking for a Data / AI Practice Manager to support the opening of an office in Nantes (location to be defined within a coworking space or business center). Based in the west of France, the company now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Nantes agency marks a key step in the growth of the firm, already commercially present in the western region. The objective: to strengthen customer proximity and develop a sustainable local presence. Your main missions: Develop the activity in Nantes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Nantes team in the medium term, with the support of headquarters. Position based in Nantes, with occasional trips to the company's headquarters and to clients in the western region.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91" s="5" t="str">
        <x:v>110000.0</x:v>
      </x:c>
      <x:c r="F291" s="5" t="str">
        <x:v>e297ec12-4712-40a4-ad98-ba004cacb205</x:v>
      </x:c>
      <x:c r="G291" s="7" t="str">
        <x:v>["assume responsibility", "engage local communities in the management of natural protected areas", "give live presentation", "lead a team", "operations management", "patient autonomy", "predictive maintenance", "show entrepreneurial spirit"]</x:v>
      </x:c>
      <x:c r="H291" s="7" t="str">
        <x:v>[]</x:v>
      </x:c>
      <x:c r="I291" s="7" t="str">
        <x:v>["assume responsibility", "lead a team"]</x:v>
      </x:c>
      <x:c r="J291" s="7" t="str">
        <x:v>[]</x:v>
      </x:c>
      <x:c r="K291" s="7" t="str">
        <x:v>["ai_ml"]</x:v>
      </x:c>
      <x:c r="L291" s="7" t="str">
        <x:v>["ai_ml"]</x:v>
      </x:c>
      <x:c r="M291" s="7" t="str">
        <x:v>["ai_ml"]</x:v>
      </x:c>
      <x:c r="N291" s="7" t="str">
        <x:v>["ai_ml"]</x:v>
      </x:c>
      <x:c r="O291" s="7" t="str">
        <x:v>["title", "description"]</x:v>
      </x:c>
      <x:c r="P291" s="7" t="str">
        <x:v>["initiative_responsibility", "leadership"]</x:v>
      </x:c>
      <x:c r="Q291" s="8" t="str">
        <x:v>yes</x:v>
      </x:c>
      <x:c r="R291" s="8" t="str">
        <x:v>yes</x:v>
      </x:c>
      <x:c r="S291" s="8" t="str">
        <x:v>yes</x:v>
      </x:c>
      <x:c r="T291" s="7" t="str">
        <x:v>Reviewed against title, duties, mapped skills and detection sources.</x:v>
      </x:c>
    </x:row>
    <x:row r="292">
      <x:c r="A292" s="5" t="str">
        <x:v>ai_ml</x:v>
      </x:c>
      <x:c r="B292" s="5" t="str">
        <x:v>204HVSR</x:v>
      </x:c>
      <x:c r="C292" s="7" t="str">
        <x:v>AI integrator accounting assistant (M/F)</x:v>
      </x:c>
      <x:c r="D292" s="7" t="str">
        <x:v>We offer the following missions: - Receive the batches of accounting documents to be processed - Check the consistency of internal and external documents received - Identify and read the documents with automatic recognition (videocoding) - Check, complete and validate the data present on the accounting documents - Control and verify the imputations proposed by artificial intelligence - Perform manual entry of the document to correct anomalies - Integrate and control the files and flows coming from various sources Your best assets to successfully complete this mission : - Holder of a diploma in Accounting, you are looking for values of proximity and customer service. - You have successful experience in the field of accounting in a firm (including work-study program) - You demonstrate a sense of organization and monitoring, allowing you to ensure customer satisfaction on a daily basis. Conditions of employment: Full-time permanent contract Working time: 39 hours + 23 RTT/year</x:v>
      </x:c>
      <x:c r="E292" s="5" t="str">
        <x:v>23500.0</x:v>
      </x:c>
      <x:c r="F292" s="5" t="str">
        <x:v>bfe142b9-a049-4d41-89c4-fd2f34ac56b6</x:v>
      </x:c>
      <x:c r="G292" s="7" t="str">
        <x:v>["accounting"]</x:v>
      </x:c>
      <x:c r="H292" s="7" t="str">
        <x:v>[]</x:v>
      </x:c>
      <x:c r="I292" s="7" t="str">
        <x:v>[]</x:v>
      </x:c>
      <x:c r="J292" s="7" t="str">
        <x:v>[]</x:v>
      </x:c>
      <x:c r="K292" s="7" t="str">
        <x:v>["ai_ml"]</x:v>
      </x:c>
      <x:c r="L292" s="7" t="str">
        <x:v>["ai_ml"]</x:v>
      </x:c>
      <x:c r="M292" s="7" t="str">
        <x:v>["ai_ml"]</x:v>
      </x:c>
      <x:c r="N292" s="7" t="str">
        <x:v>["ai_ml"]</x:v>
      </x:c>
      <x:c r="O292" s="7" t="str">
        <x:v>["title", "description"]</x:v>
      </x:c>
      <x:c r="P292" s="7" t="str">
        <x:v>[]</x:v>
      </x:c>
      <x:c r="Q292" s="8" t="str">
        <x:v>no</x:v>
      </x:c>
      <x:c r="R292" s="8" t="str">
        <x:v>no</x:v>
      </x:c>
      <x:c r="S292" s="8" t="str">
        <x:v>yes</x:v>
      </x:c>
      <x:c r="T292" s="7" t="str">
        <x:v>False positive: accounting document-validation role που ελέγχει έξοδο AI, χωρίς ανάπτυξη ή τεχνική εργασία AI.</x:v>
      </x:c>
    </x:row>
    <x:row r="293">
      <x:c r="A293" s="5" t="str">
        <x:v>ai_ml</x:v>
      </x:c>
      <x:c r="B293" s="5" t="str">
        <x:v>SKA-00059</x:v>
      </x:c>
      <x:c r="C293" s="7" t="str">
        <x:v>Responsable Practice Data / IA (Lyon) - H/F</x:v>
      </x:c>
      <x:c r="D293" s="7" t="str">
        <x:v>Description: Our client, a data and artificial intelligence consulting firm, is looking for a Data / AI Practice Manager to support the opening of an office in Lyon (location to be defined within a coworking space or business center). Based in the provinces (less than 2 hours from Paris), the company today brings together around twenty employees – data scientists, software engineers and consultants – who share the same conviction: artificial intelligence must above all serve businesses in a concrete and measurable way. Since its creation, it has supported SMEs, mid-sized companies and large groups in the design and deployment of tailor-made solutions, around issues such as: the detection of industrial anomalies and the optimization of logistics flows, sales forecasting and predictive maintenance, the implementation of generative AI solutions or recommendation tools adapted to each profession. The opening of the Lyon agency marks a key step in the growth of the firm, already commercially present in the Auvergne-Rhône-Alpes region. The objective is to strengthen proximity with customers and develop a sustainable local presence. Your main missions: Develop the activity in Lyon thanks to your network and a relational approach (no cold prospecting), Identify AI and data opportunities and support clients in their first projects, Carry out the first consulting missions: diagnostics, framing, acculturation workshops, Represent the brand in the territory and lead the local ecosystem (events, clubs, management meetings). Structure and grow the Lyon team in the medium term, with support from headquarters. Position based in Lyon, with occasional trips to the company's headquarters and to clients in the Auvergne-Rhône-Alpes region. Remuneration: package between 100 and 120 K€, composed of a fixed amount between 70 and 80 K€ depending on profile and a variable linked to the performance and development of the activity. Profile sought: The position is aimed at an experienced professional, from the world of consulting and accustomed to operating in demanding environments, where technical credibility and business vision go hand in hand. You have professional experience of 10 to 15 years or more, acquired in consulting, data or IT, and today wish to put your expertise at the service of an entrepreneurial project within a human-sized structure. With excellent interpersonal skills, you know how to create relationships of trust with high-level contacts (managers, business management, IT department). You have a strong consultant posture, combined with skills in business development, partnership management and profit center (P&amp;L) management. Expected profile and skills: High-level higher education: engineering school, business school or university, ideally preceded by a preparatory class. Solid technical culture around data, artificial intelligence or digital transformation. Ability to structure a local activity, lead a team and contribute to the national strategy. Entrepreneurial spirit, autonomy, sense of responsibility and taste for development. Excellent communication, presentation and synthesis skills. Working conditions and benefits: Open and flexible teleworking, with the possibility of freely organizing your schedule. Restaurant tickets (Swile card). RTT and flexible working time organization, adapted to the responsibilities of the position. Regular team events, annual seminars and a caring atmosphere. Corporate culture focused on trust, work/life balance and continuous development of skills. This position is particularly suitable for a senior consultant, manager or firm director wishing to join a company recognized for its expertise, pragmatism and human consulting culture.</x:v>
      </x:c>
      <x:c r="E293" s="5" t="str">
        <x:v>110000.0</x:v>
      </x:c>
      <x:c r="F293" s="5" t="str">
        <x:v>e297ec12-4712-40a4-ad98-ba004cacb205</x:v>
      </x:c>
      <x:c r="G293" s="7" t="str">
        <x:v>["assume responsibility", "engage local communities in the management of natural protected areas", "give live presentation", "lead a team", "operations management", "patient autonomy", "predictive maintenance", "show entrepreneurial spirit"]</x:v>
      </x:c>
      <x:c r="H293" s="7" t="str">
        <x:v>[]</x:v>
      </x:c>
      <x:c r="I293" s="7" t="str">
        <x:v>["assume responsibility", "lead a team"]</x:v>
      </x:c>
      <x:c r="J293" s="7" t="str">
        <x:v>[]</x:v>
      </x:c>
      <x:c r="K293" s="7" t="str">
        <x:v>["ai_ml"]</x:v>
      </x:c>
      <x:c r="L293" s="7" t="str">
        <x:v>["ai_ml"]</x:v>
      </x:c>
      <x:c r="M293" s="7" t="str">
        <x:v>["ai_ml"]</x:v>
      </x:c>
      <x:c r="N293" s="7" t="str">
        <x:v>["ai_ml"]</x:v>
      </x:c>
      <x:c r="O293" s="7" t="str">
        <x:v>["title", "description"]</x:v>
      </x:c>
      <x:c r="P293" s="7" t="str">
        <x:v>["initiative_responsibility", "leadership"]</x:v>
      </x:c>
      <x:c r="Q293" s="8" t="str">
        <x:v>yes</x:v>
      </x:c>
      <x:c r="R293" s="8" t="str">
        <x:v>yes</x:v>
      </x:c>
      <x:c r="S293" s="8" t="str">
        <x:v>yes</x:v>
      </x:c>
      <x:c r="T293" s="7" t="str">
        <x:v>Reviewed against title, duties, mapped skills and detection sources.</x:v>
      </x:c>
    </x:row>
    <x:row r="294">
      <x:c r="A294" s="5" t="str">
        <x:v>ai_ml</x:v>
      </x:c>
      <x:c r="B294" s="5" t="str">
        <x:v>202BTCJ</x:v>
      </x:c>
      <x:c r="C294" s="7" t="str">
        <x:v>Sales Manager DACH - SaaS AI - German / French, Montpellier (M/F)</x:v>
      </x:c>
      <x:c r="D294" s="7" t="str">
        <x:v>Do you dream of a position where you develop innovative technology that transforms mass distribution and industry? Do you want to take charge of the growth of an agile scale-up on the German-speaking market, by managing complex sales to prestigious clients (food industry, pharmaceuticals, beauty, DIY)? You are at the heart of commercial development, as: Sales Manager DACH - SaaS AI - German / French (f/m/d), Montpellier Our offer - Why it is the right choice for your career Type of contract: CDI, full-time Remuneration: attractive package according to profile Position based at headquarters in Montpellier with monthly customer visits Interesting development prospects Work environment: flat hierarchies, rapid decisions, team support, entrepreneurial spirit in a tech company with strong growth Week integration Your mission - What we can count on you for Your role is to strengthen the presence in the DACH zone by developing and retaining key accounts. You develop the customer portfolio through complex B2B sales with a long cycle You lead commercially oriented partnership relationships with strategic players (CRM, consulting firms) You ensure the negotiation and conclusion of high value-added contracts with multiple stakeholders (IT, management, DNV) You monitor your results and manage your customers' KPIs with rigor and autonomy You actively contribute to international growth Your profile - What you bring to the team Your career path: minimum 5 years proven experience in B2B business development with a long sales cycle, preferably on SaaS or technological solutions or comparable experience. Your language skills: German level C2, French C1 (or B2 if C1 in English). Your IT knowledge: mastery of Hubspot, Slite, Teams tools, affinity with SaaS and AI technology. Your personality: maturity, autonomy, adaptability, versatility, ability to adapt your speech to major accounts and interpersonal skills.</x:v>
      </x:c>
      <x:c r="E294" s="5" t="str">
        <x:v>47500.0</x:v>
      </x:c>
      <x:c r="F294" s="5" t="str">
        <x:v>c956be07-53a3-4b01-b8f8-f0c5a428eaa8</x:v>
      </x:c>
      <x:c r="G294" s="7" t="str">
        <x:v>["German", "adapt to change", "negotiate with stakeholders", "patient autonomy", "pharmaceutical products", "relationship marketing"]</x:v>
      </x:c>
      <x:c r="H294" s="7" t="str">
        <x:v>[]</x:v>
      </x:c>
      <x:c r="I294" s="7" t="str">
        <x:v>["adapt to change", "negotiate with stakeholders"]</x:v>
      </x:c>
      <x:c r="J294" s="7" t="str">
        <x:v>[]</x:v>
      </x:c>
      <x:c r="K294" s="7" t="str">
        <x:v>["ai_ml"]</x:v>
      </x:c>
      <x:c r="L294" s="7" t="str">
        <x:v>[]</x:v>
      </x:c>
      <x:c r="M294" s="7" t="str">
        <x:v>["ai_ml"]</x:v>
      </x:c>
      <x:c r="N294" s="7" t="str">
        <x:v>["ai_ml"]</x:v>
      </x:c>
      <x:c r="O294" s="7" t="str">
        <x:v>["title"]</x:v>
      </x:c>
      <x:c r="P294" s="7" t="str">
        <x:v>["adaptability", "communication"]</x:v>
      </x:c>
      <x:c r="Q294" s="8" t="str">
        <x:v>no</x:v>
      </x:c>
      <x:c r="R294" s="8" t="str">
        <x:v>no</x:v>
      </x:c>
      <x:c r="S294" s="8" t="str">
        <x:v>yes</x:v>
      </x:c>
      <x:c r="T294" s="7" t="str">
        <x:v>False positive: SaaS/AI sales manager· εμπορικός ρόλος χωρίς τεχνικά καθήκοντα AI.</x:v>
      </x:c>
    </x:row>
    <x:row r="295">
      <x:c r="A295" s="5" t="str">
        <x:v>ai_ml</x:v>
      </x:c>
      <x:c r="B295" s="5" t="str">
        <x:v>pagefrautopost_JN -122025-6910965-4856_1771733244</x:v>
      </x:c>
      <x:c r="C295" s="7" t="str">
        <x:v>Data Scientist H/F</x:v>
      </x:c>
      <x:c r="D295" s="7" t="str">
        <x:v>Your main missions:* Identify and consolidate the needs for automatic language processing with the research and management teams. * Develop, validate and maintain scientific software libraries in Python. * Design and deploy machine learning and deep learning models for the pre-processing and structuring of textual data. * Participate in the development and adaptation of language models (LLM) for clinical use cases. * Write technical and user documentation. * Contribute to academic collaborations and the writing of scientific articles. One-off missions: * Provide user support and train teams in NLP. * Support research projects using textual data. * Promote the tools and best practices of the Data Science team to clinical teams. * Participate in Data Challenges and innovation initiatives. * Engineering degree or equivalent (Bac+5 minimum/Master 2) in data science. * A few years of experience demonstrating good command of Python, code review best practices and continuous integration. Technical skills sought: * Expertise in NLP and language models (LLM). *Strong statistics skills. * Proficiency in SQL and database analysis. * Experience in machine learning and deep learning (HuggingFace, PyTorch.). * Knowledge of distributed computing and data management. * Very good command of Python. * Skills in deploying AI models. * Proficiency in Linux and Git. 1 day/s of teleworking. Stimulating project.</x:v>
      </x:c>
      <x:c r="E295" s="5" t="str">
        <x:v>52500.0</x:v>
      </x:c>
      <x:c r="F295" s="5" t="str">
        <x:v>258e46f9-0075-4a2e-adae-1ff0477e0f30</x:v>
      </x:c>
      <x:c r="G295" s="7" t="str">
        <x:v>["Python (computer programming)", "data models", "data warehouse", "distributed computing", "innovation processes", "manage a team", "provide user documentation", "write scientific publications"]</x:v>
      </x:c>
      <x:c r="H295" s="7" t="str">
        <x:v>["Python (computer programming)", "data warehouse"]</x:v>
      </x:c>
      <x:c r="I295" s="7" t="str">
        <x:v>["innovation processes", "manage a team"]</x:v>
      </x:c>
      <x:c r="J295" s="7" t="str">
        <x:v>["data_analysis", "data_engineering"]</x:v>
      </x:c>
      <x:c r="K295" s="7" t="str">
        <x:v>["ai_ml", "data_analysis"]</x:v>
      </x:c>
      <x:c r="L295" s="7" t="str">
        <x:v>["ai_ml", "data_analysis", "networks_systems"]</x:v>
      </x:c>
      <x:c r="M295" s="7" t="str">
        <x:v>["ai_ml", "data_analysis", "data_engineering", "networks_systems"]</x:v>
      </x:c>
      <x:c r="N295" s="7" t="str">
        <x:v>["ai_ml", "data_analysis"]</x:v>
      </x:c>
      <x:c r="O295" s="7" t="str">
        <x:v>["esco", "title", "description"]</x:v>
      </x:c>
      <x:c r="P295" s="7" t="str">
        <x:v>["creativity", "leadership"]</x:v>
      </x:c>
      <x:c r="Q295" s="8" t="str">
        <x:v>yes</x:v>
      </x:c>
      <x:c r="R295" s="8" t="str">
        <x:v>yes</x:v>
      </x:c>
      <x:c r="S295" s="8" t="str">
        <x:v>yes</x:v>
      </x:c>
      <x:c r="T295" s="7" t="str">
        <x:v>Reviewed against title, duties, mapped skills and detection sources.</x:v>
      </x:c>
    </x:row>
    <x:row r="296">
      <x:c r="A296" s="5" t="str">
        <x:v>ai_ml</x:v>
      </x:c>
      <x:c r="B296" s="5" t="str">
        <x:v>pagefrautopost_JN -122025-6896194-4856_1771560981</x:v>
      </x:c>
      <x:c r="C296" s="7" t="str">
        <x:v>Software Engineer M/F</x:v>
      </x:c>
      <x:c r="D296" s="7" t="str">
        <x:v>You will join a dedicated team of 4 Engineers and contribute to the design, development and maintenance in operational conditions of embedded systems and network infrastructures. Your main missions as a Software Engineer are: * Participate in the definition of the system and network architecture and its implementation. * Ensure solutions are maintained in operational conditions (MCO). * Provide technical expertise within the team and supervise the management of the embedded systems fleet. * Carry out ramp-up tests and optimize scalability. * Contribute to the specifications and development of business functionalities. Technical environment: SaaS applications, Cloud, Embedded Linux Server, High availability, Deep Learning, Computer Vision, Video encoding, HLS Streaming, NoSQL, satellite connectivity, Python, Docker, CI/CD, Grafana. The profile sought is: * Significant experience in software engineering or DevOps, * Good knowledge of Linux and Python. * Strong skills in system and network architecture. * Knowledge appreciated: Infra Cloud, web development, NoSQL bases (MongoDB), supervision (Grafana), Docker, CI/CD. Soft skills: * Team spirit and sense of collaboration. * Ability to analyze and solve problems. * Autonomy and rigor. * Curiosity for innovative technical environments. The remuneration and benefits for this position are: * Restaurant vouchers (60% employers), * Profit based on results, * Mutual insurance with advantageous conditions and 100% employers, * Join our client and put your skills to good use as a Software Engineer, * Apply now for this exciting opportunity.</x:v>
      </x:c>
      <x:c r="E296" s="5" t="str">
        <x:v>40000.0</x:v>
      </x:c>
      <x:c r="F296" s="5" t="str">
        <x:v>fde4372d-8293-42de-afbb-8b5a9b274fe7</x:v>
      </x:c>
      <x:c r="G296" s="7" t="str">
        <x:v>["DevOps", "NoSQL", "Python (computer programming)", "computer vision", "demonstrate curiosity", "design web-based courses", "develop design ideas cooperatively", "provide technical expertise", "solve problems", "supervision of persons"]</x:v>
      </x:c>
      <x:c r="H296" s="7" t="str">
        <x:v>["DevOps", "NoSQL", "Python (computer programming)", "computer vision"]</x:v>
      </x:c>
      <x:c r="I296" s="7" t="str">
        <x:v>["demonstrate curiosity", "solve problems"]</x:v>
      </x:c>
      <x:c r="J296" s="7" t="str">
        <x:v>["ai_ml", "cloud_devops", "data_analysis", "data_engineering"]</x:v>
      </x:c>
      <x:c r="K296" s="7" t="str">
        <x:v>["software"]</x:v>
      </x:c>
      <x:c r="L296" s="7" t="str">
        <x:v>["ai_ml", "data_engineering", "cloud_devops", "networks_systems"]</x:v>
      </x:c>
      <x:c r="M296" s="7" t="str">
        <x:v>["ai_ml", "cloud_devops", "data_analysis", "data_engineering", "networks_systems", "software"]</x:v>
      </x:c>
      <x:c r="N296" s="7" t="str">
        <x:v>["ai_ml", "data_engineering", "software", "cloud_devops"]</x:v>
      </x:c>
      <x:c r="O296" s="7" t="str">
        <x:v>["esco", "title", "description"]</x:v>
      </x:c>
      <x:c r="P296" s="7" t="str">
        <x:v>["creativity", "problem_solving"]</x:v>
      </x:c>
      <x:c r="Q296" s="8" t="str">
        <x:v>yes</x:v>
      </x:c>
      <x:c r="R296" s="8" t="str">
        <x:v>yes</x:v>
      </x:c>
      <x:c r="S296" s="8" t="str">
        <x:v>yes</x:v>
      </x:c>
      <x:c r="T296" s="7" t="str">
        <x:v>Reviewed against title, duties, mapped skills and detection sources.</x:v>
      </x:c>
    </x:row>
    <x:row r="297">
      <x:c r="A297" s="5" t="str">
        <x:v>ai_ml</x:v>
      </x:c>
      <x:c r="B297" s="5" t="str">
        <x:v>204JSQM</x:v>
      </x:c>
      <x:c r="C297" s="7" t="str">
        <x:v>AWS Cloud Engineer - Data &amp; AI (M/F)</x:v>
      </x:c>
      <x:c r="D297" s="7" t="str">
        <x:v>We are recruiting an AWS Cloud Engineer - Data &amp; IA Project Description: Contribute to the ideation phases and the evaluation of the technical feasibility of innovative concepts Experience: 5 Required Skills: Python backend development and REST APIs AWS cloud environments (S3, Lambda, API Gateway, IAM) Infrastructure as Code (Terraform) Data processing / data engineering (Pandas, PySpark, batch processing) Basics of SQL and NoSQL data Linux environments Git version management Data architectures / microservices ML / NLP / LLM (AWS Bedrock) Technical environment: Python, REST APIs, AWS, S3, Lambda, API Gateway, IAM, Terraform, Pandas, PySpark, SQL, NoSQL, Linux, Git, ML, NLP, LLM, AWS Bedrock Languages: Professional English</x:v>
      </x:c>
      <x:c r="E297" s="5" t="str">
        <x:v>55000.0</x:v>
      </x:c>
      <x:c r="F297" s="5" t="str">
        <x:v>8d9ec84d-cf2d-4179-87bc-335cda54a427</x:v>
      </x:c>
      <x:c r="G297" s="7" t="str">
        <x:v>["NoSQL", "SQL", "natural language processing"]</x:v>
      </x:c>
      <x:c r="H297" s="7" t="str">
        <x:v>["NoSQL", "SQL", "natural language processing"]</x:v>
      </x:c>
      <x:c r="I297" s="7" t="str">
        <x:v>[]</x:v>
      </x:c>
      <x:c r="J297" s="7" t="str">
        <x:v>["ai_ml", "data_analysis", "data_engineering"]</x:v>
      </x:c>
      <x:c r="K297" s="7" t="str">
        <x:v>["ai_ml", "cloud_devops"]</x:v>
      </x:c>
      <x:c r="L297" s="7" t="str">
        <x:v>["ai_ml", "data_analysis", "data_engineering", "software", "cloud_devops", "networks_systems"]</x:v>
      </x:c>
      <x:c r="M297" s="7" t="str">
        <x:v>["ai_ml", "cloud_devops", "data_analysis", "data_engineering", "networks_systems", "software"]</x:v>
      </x:c>
      <x:c r="N297" s="7" t="str">
        <x:v>["ai_ml", "data_analysis", "data_engineering", "cloud_devops"]</x:v>
      </x:c>
      <x:c r="O297" s="7" t="str">
        <x:v>["esco", "title", "description"]</x:v>
      </x:c>
      <x:c r="P297" s="7" t="str">
        <x:v>[]</x:v>
      </x:c>
      <x:c r="Q297" s="8" t="str">
        <x:v>yes</x:v>
      </x:c>
      <x:c r="R297" s="8" t="str">
        <x:v>yes</x:v>
      </x:c>
      <x:c r="S297" s="8" t="str">
        <x:v>yes</x:v>
      </x:c>
      <x:c r="T297" s="7" t="str">
        <x:v>Reviewed against title, duties, mapped skills and detection sources.</x:v>
      </x:c>
    </x:row>
    <x:row r="298">
      <x:c r="A298" s="5" t="str">
        <x:v>ai_ml</x:v>
      </x:c>
      <x:c r="B298" s="5" t="str">
        <x:v>e82af594-8650-4f08-806e-def2d36da5bf</x:v>
      </x:c>
      <x:c r="C298" s="7" t="str">
        <x:v>Process Automation &amp; AI Developer F/M - UpYourBizz</x:v>
      </x:c>
      <x:c r="D298" s="7" t="str">
        <x:v>Within our Growth AI team and under the responsibility of Guillaume, our AI and Digital manager, your role is essential: you will act as the team's technical expert. Your objective will be to boost the efficiency and agility of our internal teams. You will also be the driving force behind the integration of AI into our practices. You will work closely with teams to understand their needs and transform their ideas into concrete and operational automation solutions. ️ Your Key Responsibilities - Automation and Integration (No-Code/Low-Code): - Design and implement automation workflows for our internal teams. - Use and master platforms like n8n and Make to connect and interact our different tools (CRM, emailing platform, data warehouse, etc.). - Develop internal application tools (portals, structured databases) using platforms such as Cursor (or equivalent solutions). - Innovation and AI Projects: - Stay on active watch to identify and experiment with new technologies. - Actively participate in the integration of Artificial Intelligence tools (generative AI, analytical AI) into company processes. You may be required to work on additional projects for our external clients. (example: creation of an e-commerce site, showcase site...Depending on our internal opportunities and needs...).Experience - Experience in development - Sensitivity or prior experience in the field of Digital Marketing or E-commerce would be a major asset. - Pronounced interest in the AI ​​ecosystem. Required Technical Skills - Mastery of automation tools: Ability to build flows with n8n, Make or similar tools. - Understanding of fundamental development concepts (REST API, Webhooks). - Knowledge of coding (JavaScript, Python) for advanced functions in workflows is a plus. Personal Qualities - Curious and passionate about AI. (a big big big... more) - Autonomous, proactive and proactive. - Teacher with excellent interpersonal skills for teamwork. - Results-oriented and able to articulate technical value in the service of marketing objectives. What we offer - A work environment where you have a direct impact on the efficiency of the company. - A corporate culture that encourages experimentation with AI and innovative tools. - The opportunity to develop skills on cutting-edge technologies (n8n, Cursor, Make). What we offer: - Permanent contract - Fixed annual remuneration over 12 months between €30k and €32k gross annually - ️ Flexible hours (35-hour contract over 4.5 days possible or one day of teleworking) - Cohesion: Teambuilding and regular collaborative events - Healthy: fruit available every week - ️ Energy: coffee and tea offered every day - ️️ Sport: -50% on your CrossFit Happiness subscription</x:v>
      </x:c>
      <x:c r="E298" s="5" t="str">
        <x:v>31000.0</x:v>
      </x:c>
      <x:c r="F298" s="5" t="str">
        <x:v>c40a2919-48a9-40ea-b506-1f34f693496d</x:v>
      </x:c>
      <x:c r="G298" s="7" t="str">
        <x:v>["data warehouse"]</x:v>
      </x:c>
      <x:c r="H298" s="7" t="str">
        <x:v>["data warehouse"]</x:v>
      </x:c>
      <x:c r="I298" s="7" t="str">
        <x:v>[]</x:v>
      </x:c>
      <x:c r="J298" s="7" t="str">
        <x:v>["data_engineering"]</x:v>
      </x:c>
      <x:c r="K298" s="7" t="str">
        <x:v>["ai_ml"]</x:v>
      </x:c>
      <x:c r="L298" s="7" t="str">
        <x:v>["ai_ml", "data_engineering", "software"]</x:v>
      </x:c>
      <x:c r="M298" s="7" t="str">
        <x:v>["ai_ml", "data_engineering", "software"]</x:v>
      </x:c>
      <x:c r="N298" s="7" t="str">
        <x:v>["ai_ml", "data_engineering"]</x:v>
      </x:c>
      <x:c r="O298" s="7" t="str">
        <x:v>["esco", "title", "description"]</x:v>
      </x:c>
      <x:c r="P298" s="7" t="str">
        <x:v>[]</x:v>
      </x:c>
      <x:c r="Q298" s="8" t="str">
        <x:v>yes</x:v>
      </x:c>
      <x:c r="R298" s="8" t="str">
        <x:v>yes</x:v>
      </x:c>
      <x:c r="S298" s="8" t="str">
        <x:v>yes</x:v>
      </x:c>
      <x:c r="T298" s="7" t="str">
        <x:v>Reviewed against title, duties, mapped skills and detection sources.</x:v>
      </x:c>
    </x:row>
    <x:row r="299">
      <x:c r="A299" s="5" t="str">
        <x:v>ai_ml</x:v>
      </x:c>
      <x:c r="B299" s="5" t="str">
        <x:v>g2fqzc6m6z</x:v>
      </x:c>
      <x:c r="C299" s="7" t="str">
        <x:v>Architecte Data &amp; IA H/F</x:v>
      </x:c>
      <x:c r="D299" s="7" t="str">
        <x:v>RESPONSIBILITIES: We are looking for an Experienced Architect, passionate about technology, to work either internally, collaborating transversally on various exciting projects, or directly with our clients, being at the heart of their digital challenges. If you want to participate in major projects, continue to learn and evolve in your career, this is the perfect opportunity! You will be responsible for: • Designing, modeling and evaluating the implementation burden of secure, scalable, reliable and efficient architectures in the fields of Data and/or Digital in a project and pre-sales situation • Carrying out comparative studies of solutions in order to select the most innovative and adapted to the project context • Carry out or conduct PoV (Proof of Value) and PoC (Proof of Concept) • Write the technical architecture file through High and Low Level Design • Ensure the compliance of project achievements relating to the technical architecture file • Ensure the monitoring of good practices across the entire scope of technical achievements • Carry out a cost optimization process in order to guarantee that the architecture is both efficient and economical PROFILE WANTED: As an Architect you have expertise in at least one of the following areas: Data (modeling), Digital, DevOps, ML or Infrastructure (on-premise and/or cloud). This expertise will be confirmed by the mastery of a technological base according to the field concerned and the specialty: • Data: Storage (S3, Azure Storage, ADLS, GCS, MinIO...), (No)SQL and Warehousing (Redshift, Synapse, BigQuery, Trino, DataStax, MongoDB, Hive, Impala...), Platform as a Service (Cloudera, Snowflake, Databricks), Integration and Compute (Talend, Dbt, Snaplogic, Spark, Glue...), Streaming and IoT (Kafka/Confluent, Pub/Sub, RabbitMQ, Pulsar, HiveMQ, NomoSense, Event/IoT Hub, ThingBoard...) • Machine Learning: Dataiku, Azure ML, SageMaker, VertexIA, Databricks ML, Azure Cognitive Services, ML Framework (TensorFlow, Keras, PyTorch, ...) • DevSecOps : Version manager (Gitlab, Github, Bitbucket...), CI/CD (Jenkins, Azure DevOps, Gitlab-CI, Github Actions...), Artifact manager (Artifactory, Nexus, Harbor...), Encryption, Secrets management, Security scans (CVE, SAST, DAST...), Observability (ELK, Prometheus, Grafana, Datadog...) • Gen AI: RAG construction, Prompt Engineering, LLM, Agentique IA: Mistral AI, Gemini, ChatGPT... You have a team spirit, are proactive and demonstrate a strong ability to adapt. You also demonstrate excellent communication skills, able to translate complex technical concepts into simple terms for stakeholders. Finally, you have the capacity to integrate a system operating according to the Agile methodology. Graduate of an engineering school or a technical university course, you have a minimum of 8 years of professional experience in a data or digital context including at least 3 years as an experienced architect.</x:v>
      </x:c>
      <x:c r="E299" s="5" t="str">
        <x:v>82500.0</x:v>
      </x:c>
      <x:c r="F299" s="5" t="str">
        <x:v>d3edb8f8-3a06-47a0-8fb9-9b212c006aa2</x:v>
      </x:c>
      <x:c r="G299" s="7" t="str">
        <x:v>["Agile development", "DevOps", "Jenkins (tools for software configuration management)", "communicate with stakeholders", "create model", "digitization", "identify digital competence gaps"]</x:v>
      </x:c>
      <x:c r="H299" s="7" t="str">
        <x:v>["DevOps", "Jenkins (tools for software configuration management)"]</x:v>
      </x:c>
      <x:c r="I299" s="7" t="str">
        <x:v>["communicate with stakeholders"]</x:v>
      </x:c>
      <x:c r="J299" s="7" t="str">
        <x:v>["cloud_devops"]</x:v>
      </x:c>
      <x:c r="K299" s="7" t="str">
        <x:v>["ai_ml"]</x:v>
      </x:c>
      <x:c r="L299" s="7" t="str">
        <x:v>["ai_ml", "data_engineering", "cloud_devops"]</x:v>
      </x:c>
      <x:c r="M299" s="7" t="str">
        <x:v>["ai_ml", "cloud_devops", "data_engineering"]</x:v>
      </x:c>
      <x:c r="N299" s="7" t="str">
        <x:v>["ai_ml", "cloud_devops"]</x:v>
      </x:c>
      <x:c r="O299" s="7" t="str">
        <x:v>["esco", "title", "description"]</x:v>
      </x:c>
      <x:c r="P299" s="7" t="str">
        <x:v>["communication"]</x:v>
      </x:c>
      <x:c r="Q299" s="8" t="str">
        <x:v>yes</x:v>
      </x:c>
      <x:c r="R299" s="8" t="str">
        <x:v>yes</x:v>
      </x:c>
      <x:c r="S299" s="8" t="str">
        <x:v>yes</x:v>
      </x:c>
      <x:c r="T299" s="7" t="str">
        <x:v>Reviewed against title, duties, mapped skills and detection sources.</x:v>
      </x:c>
    </x:row>
    <x:row r="300">
      <x:c r="A300" s="5" t="str">
        <x:v>ai_ml</x:v>
      </x:c>
      <x:c r="B300" s="5" t="str">
        <x:v>4c79b751-4378-4234-bb8d-6f0442140190</x:v>
      </x:c>
      <x:c r="C300" s="7" t="str">
        <x:v>Consultant.e Data Scientist F/H - Valoway</x:v>
      </x:c>
      <x:c r="D300" s="7" t="str">
        <x:v>We are exclusively looking for experienced profiles, with a minimum of 5 years of experience, capable of leading strategic projects from start to finish, in complete autonomy: from the definition of needs to the industrialization of solutions. - Develop and deploy NLP and generative AI solutions (LLMs, embeddings, conversational assistants, text generation, classification). - Design and then industrialize adapted, maintainable and efficient solutions, adopting an MLOps approach. - Create predictive and optimization models to respond to business challenges (forecasting, segmentation, automation). - Support DATA communities and professions in the adoption of good practices through: the framing of use cases, the conduct of experimental methodology, acculturation and ideation workshops, the transfer of skills to existing teams. - Carry out continuous monitoring and share on the state of the art of Data Science and Cloud Provider offers, to enrich our projects and contribute to collective intelligence - Promote our Microsoft partnership by integrating the latest Azure technological innovations into our solutions and by representing Valoway during events, webinars and communications. Our main technical environments: - Languages: Python, SQL, Spark, R. - Developer tools: IDE, GIT. - Visualization: Power BI, Tableau Software, Google Data Studio, Looker. - DeepLearning library: Keras, TensorFlow, Pytorch Would you like to know more about the Data Scientist position at Valoway? Our team talks about it best: Interview with Pierre, manager of the AI ​​division within Valoway What we offer: - An indicative salary between €50,000 and €60,000 gross annually (depending on experience and profile). - RTT and SWILE restaurant card. - An agile environment, with a hybrid working mode depending on the subjects to be carried out (Valoway offices, at the client's site, teleworking). - Local management and prospects for skills development with individualized support. - A company on a human scale and an approach based on proximity, with our customers and our collaborators. You have experience of at least 5 years, including: - Active participation in projects embedding AI and/or Machine Learning bricks, covering framing, development and industrialization. - Experience in Cloud environments, ideally Microsoft Azure. - An ability to popularize technical solutions for business teams and decision-makers, with a service and customer success-oriented approach. Joining us as a consultant at Valoway is also a state of mind: - Autonomy in customer relations - Spirit of initiative and curiosity - Collaboration and sense of sharing - Mobility to meet the needs of our customers (travel possible) Does this position suit you? Would you like to know more? Send us your application! Our recruitment process for this position: - An initial discussion with Emma, ​​our HR, to understand your project. - A second technical and cultural exchange with our consultants to discover our daily life and take you on board with our vision! - A final meeting with Louis-Vincent (founder) and Gwénolé (director) to share with you the challenges of Valoway. The average duration of the recruitment process is one month and can be adapted according to your obligations, we are flexible!</x:v>
      </x:c>
      <x:c r="E300" s="5" t="str">
        <x:v>55000.0</x:v>
      </x:c>
      <x:c r="F300" s="5" t="str">
        <x:v>258e46f9-0075-4a2e-adae-1ff0477e0f30</x:v>
      </x:c>
      <x:c r="G300" s="7" t="str">
        <x:v>["Agile development", "Python (computer programming)", "SQL", "build predictive models", "communication studies", "integrated development environment software", "make decisions"]</x:v>
      </x:c>
      <x:c r="H300" s="7" t="str">
        <x:v>["Python (computer programming)", "SQL"]</x:v>
      </x:c>
      <x:c r="I300" s="7" t="str">
        <x:v>["communication studies", "make decisions"]</x:v>
      </x:c>
      <x:c r="J300" s="7" t="str">
        <x:v>["data_analysis"]</x:v>
      </x:c>
      <x:c r="K300" s="7" t="str">
        <x:v>["ai_ml", "data_analysis"]</x:v>
      </x:c>
      <x:c r="L300" s="7" t="str">
        <x:v>["ai_ml", "data_analysis", "cloud_devops"]</x:v>
      </x:c>
      <x:c r="M300" s="7" t="str">
        <x:v>["ai_ml", "cloud_devops", "data_analysis"]</x:v>
      </x:c>
      <x:c r="N300" s="7" t="str">
        <x:v>["ai_ml", "data_analysis"]</x:v>
      </x:c>
      <x:c r="O300" s="7" t="str">
        <x:v>["esco", "title", "description"]</x:v>
      </x:c>
      <x:c r="P300" s="7" t="str">
        <x:v>["communication", "problem_solving"]</x:v>
      </x:c>
      <x:c r="Q300" s="8" t="str">
        <x:v>yes</x:v>
      </x:c>
      <x:c r="R300" s="8" t="str">
        <x:v>yes</x:v>
      </x:c>
      <x:c r="S300" s="8" t="str">
        <x:v>yes</x:v>
      </x:c>
      <x:c r="T300" s="7" t="str">
        <x:v>Reviewed against title, duties, mapped skills and detection sources.</x:v>
      </x:c>
    </x:row>
    <x:row r="301">
      <x:c r="A301" s="5" t="str">
        <x:v>ai_ml</x:v>
      </x:c>
      <x:c r="B301" s="5" t="str">
        <x:v>SOFTY_PE_V2_188415_LOC_0</x:v>
      </x:c>
      <x:c r="C301" s="7" t="str">
        <x:v>CHERCHEUR - H/F</x:v>
      </x:c>
      <x:c r="D301" s="7" t="str">
        <x:v>Description: INSERM NOUVELLE-AQUITAINE REGIONAL DELEGATION STRUCTURE - UMR 1219 DIRECTED BY M. THIEBAUT The SISTM team, led by Mélanie Prague, is part of the Inserm U1219 Bordeaux Population Health Center (BPH). https://www.bordeaux-population-health.center/the-teams/biostatistics/ MAIN MISSION The recruited person will have the mission of participating in the construction of mathematical models (based on differential equations) of the immune response induced by vaccination and viral dynamics after infection by helping to integrate the latest known biological results in virology and immunology in this area. This project will take place within the framework of the PEPR MIE Previx. This project is structured into six working groups using quantitative approaches adapted to the diversity of data generated in the context of a pandemic. The objective is to define the microbiological, infectious disease and epidemiological contours of future threats. The project will develop methods to detect, characterize and model a new pathogen in real time from the first available information. It will notably deal with the analysis of heterogeneous data and the use of machine learning. The consortium brings together nine research units with interdisciplinary skills. It will produce knowledge useful to public health and will contribute to the training of a new generation of specialists capable of anticipating respiratory virus X. As part of this project, the contract researcher will integrate into the intra-host work package. A first contribution will be to investigate innovative and optimal preclinical trial designs in collaboration with Jeremie Guedj and France Mentre from the Inserm IAME Paris unit. One of the challenges will be the development of optimal designs to obtain reliable estimates of viroimmunological parameters in experimental models in non-human primates. These models are essential for the study of viral pathogenesis and therapeutic strategies. Estimating these parameters, however, remains difficult due to resource constraints and experimental design. The work will focus on the use of simulations to analyze the impact of different inoculation doses and increased heterogeneity in the timing of interventions, in order to improve the robustness of estimates and the ability to identify correlates of protection. MAIN ACTIVITIES Carry out bibliographic monitoring of results in immunology in the areas mentioned above, as well as the associated mathematical models Participate in the construction of models of differential equations of the immune response Carry out analyzes of data from vaccine clinical studies using the models developed Participate in the scientific life of the team Promote the research work by writing articles and presenting oral or displayed communications Profile sought: KNOWLEDGE Expertise in immunology Experience in the analysis of the immune response induced by vaccination Skills in programming and/or statistical population analysis and/or mathematical modeling will be greatly appreciated. Scientific and technical English KNOW-HOW Analysis and formatting of data from vaccine clinical trials Mastery of Monolix software will be appreciated. Manage the confidentiality of information and data SKILLS Rigor Autonomy Organizational skills Teamwork ·Aptitude for scientific writing Desired experience: 3 years of experience in the analysis of the post-vaccination/infection immune response or in its mathematical modeling</x:v>
      </x:c>
      <x:c r="E301" s="5" t="str">
        <x:v>46932.0</x:v>
      </x:c>
      <x:c r="F301" s="5" t="str">
        <x:v>3af4d6be-90b5-41f6-be06-3330dab3df73</x:v>
      </x:c>
      <x:c r="G301" s="7" t="str">
        <x:v>["clinical microbiology", "conduct public presentations", "immunology", "mathematics", "utilise machine learning", "virology"]</x:v>
      </x:c>
      <x:c r="H301" s="7" t="str">
        <x:v>["utilise machine learning"]</x:v>
      </x:c>
      <x:c r="I301" s="7" t="str">
        <x:v>[]</x:v>
      </x:c>
      <x:c r="J301" s="7" t="str">
        <x:v>["ai_ml"]</x:v>
      </x:c>
      <x:c r="K301" s="7" t="str">
        <x:v>[]</x:v>
      </x:c>
      <x:c r="L301" s="7" t="str">
        <x:v>["ai_ml"]</x:v>
      </x:c>
      <x:c r="M301" s="7" t="str">
        <x:v>["ai_ml"]</x:v>
      </x:c>
      <x:c r="N301" s="7" t="str">
        <x:v>["ai_ml"]</x:v>
      </x:c>
      <x:c r="O301" s="7" t="str">
        <x:v>["esco", "description"]</x:v>
      </x:c>
      <x:c r="P301" s="7" t="str">
        <x:v>[]</x:v>
      </x:c>
      <x:c r="Q301" s="8" t="str">
        <x:v>yes</x:v>
      </x:c>
      <x:c r="R301" s="8" t="str">
        <x:v>yes</x:v>
      </x:c>
      <x:c r="S301" s="8" t="str">
        <x:v>yes</x:v>
      </x:c>
      <x:c r="T301" s="7" t="str">
        <x:v>Reviewed against title, duties, mapped skills and detection sources.</x:v>
      </x:c>
    </x:row>
  </x:sheetData>
  <x:conditionalFormatting sqref="Q2:S301">
    <x:cfRule type="containsText" dxfId="0" priority="1" operator="containsText" text="no"/>
    <x:cfRule type="containsText" dxfId="1" priority="2" operator="containsText" text="yes"/>
  </x:conditionalFormatting>
  <x:dataValidations count="1">
    <x:dataValidation type="list" sqref="Q2:S301">
      <x:formula1>"yes,no,uncertain"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28" hidden="0" customWidth="1"/>
    <x:col min="3" max="3" width="34" hidden="0" customWidth="1"/>
    <x:col min="4" max="4" width="34" hidden="0" customWidth="1"/>
    <x:col min="5" max="5" width="22" hidden="0" customWidth="1"/>
    <x:col min="6" max="6" width="42" hidden="0" customWidth="1"/>
  </x:cols>
  <x:sheetData>
    <x:row r="1" ht="30" customHeight="1">
      <x:c r="A1" s="11" t="str">
        <x:v>France validation sample — manual semantic coding</x:v>
      </x:c>
      <x:c r="B1" s="11"/>
      <x:c r="C1" s="11"/>
      <x:c r="D1" s="11"/>
      <x:c r="E1" s="11"/>
      <x:c r="F1" s="11"/>
    </x:row>
    <x:row r="3">
      <x:c r="A3" s="13" t="str">
        <x:v>Metric</x:v>
      </x:c>
      <x:c r="B3" s="14" t="str">
        <x:v>Value</x:v>
      </x:c>
    </x:row>
    <x:row r="4">
      <x:c r="A4" s="15" t="str">
        <x:v>Reviewed adverts</x:v>
      </x:c>
      <x:c r="B4" s="16" t="n">
        <x:v>300</x:v>
      </x:c>
    </x:row>
    <x:row r="5">
      <x:c r="A5" s="15" t="str">
        <x:v>Manually technical</x:v>
      </x:c>
      <x:c r="B5" s="16" t="n">
        <x:f>COUNTIF('Validation'!$Q$2:$Q$301,"yes")</x:f>
        <x:v>189</x:v>
      </x:c>
    </x:row>
    <x:row r="6">
      <x:c r="A6" s="15" t="str">
        <x:v>Technical coding disagreements</x:v>
      </x:c>
      <x:c r="B6" s="16" t="n">
        <x:f>COUNTIFS('Validation'!$Q$2:$Q$51,"yes")+COUNTIFS('Validation'!$Q$52:$Q$101,"yes")+COUNTIFS('Validation'!$Q$102:$Q$301,"no")</x:f>
        <x:v>13</x:v>
      </x:c>
    </x:row>
    <x:row r="7">
      <x:c r="A7" s="15" t="str">
        <x:v>Technical category disagreements</x:v>
      </x:c>
      <x:c r="B7" s="16" t="n">
        <x:f>COUNTIF('Validation'!$R$2:$R$301,"no")</x:f>
        <x:v>26</x:v>
      </x:c>
    </x:row>
    <x:row r="8">
      <x:c r="A8" s="17" t="str">
        <x:v>Soft-skill disagreements</x:v>
      </x:c>
      <x:c r="B8" s="18" t="n">
        <x:f>COUNTIF('Validation'!$S$2:$S$301,"no")</x:f>
        <x:v>3</x:v>
      </x:c>
    </x:row>
    <x:row r="10">
      <x:c r="A10" s="20" t="str">
        <x:v>Coding rule</x:v>
      </x:c>
      <x:c r="B10" s="21" t="str">
        <x:v>yes</x:v>
      </x:c>
      <x:c r="C10" s="21" t="str">
        <x:v>no</x:v>
      </x:c>
      <x:c r="D10" s="21" t="str">
        <x:v>uncertain</x:v>
      </x:c>
      <x:c r="E10" s="21" t="str">
        <x:v>Unit of review</x:v>
      </x:c>
      <x:c r="F10" s="22" t="str">
        <x:v>Interpretation</x:v>
      </x:c>
    </x:row>
    <x:row r="11">
      <x:c r="A11" s="23" t="str">
        <x:v>manual_is_technical</x:v>
      </x:c>
      <x:c r="B11" s="19" t="str">
        <x:v>Substantive digital/ICT work</x:v>
      </x:c>
      <x:c r="C11" s="19" t="str">
        <x:v>No substantive digital/ICT work</x:v>
      </x:c>
      <x:c r="D11" s="19" t="str">
        <x:v>Evidence is ambiguous</x:v>
      </x:c>
      <x:c r="E11" s="19" t="str">
        <x:v>Job advert</x:v>
      </x:c>
      <x:c r="F11" s="24" t="str">
        <x:v>Not inferred from employer sector alone</x:v>
      </x:c>
    </x:row>
    <x:row r="12">
      <x:c r="A12" s="23" t="str">
        <x:v>manual_categories_correct</x:v>
      </x:c>
      <x:c r="B12" s="19" t="str">
        <x:v>Detected set adequately matches duties</x:v>
      </x:c>
      <x:c r="C12" s="19" t="str">
        <x:v>False positive or material missing/wrong category</x:v>
      </x:c>
      <x:c r="D12" s="19" t="str">
        <x:v>Insufficient detail</x:v>
      </x:c>
      <x:c r="E12" s="19" t="str">
        <x:v>Job advert</x:v>
      </x:c>
      <x:c r="F12" s="24" t="str">
        <x:v>Checks both relevance and material omissions</x:v>
      </x:c>
    </x:row>
    <x:row r="13">
      <x:c r="A13" s="25" t="str">
        <x:v>manual_soft_skills_correct</x:v>
      </x:c>
      <x:c r="B13" s="26" t="str">
        <x:v>Soft set is supported</x:v>
      </x:c>
      <x:c r="C13" s="26" t="str">
        <x:v>False positive/material omission</x:v>
      </x:c>
      <x:c r="D13" s="26" t="str">
        <x:v>Insufficient detail</x:v>
      </x:c>
      <x:c r="E13" s="26" t="str">
        <x:v>Job advert</x:v>
      </x:c>
      <x:c r="F13" s="27" t="str">
        <x:v>Generic agency boilerplate is excluded</x:v>
      </x:c>
    </x:row>
  </x:sheetData>
  <x:mergeCells>
    <x:mergeCell ref="A1:F1"/>
  </x:mergeCells>
  <x:pageMargins left="0.7" right="0.7" top="0.75" bottom="0.75" header="0.3" footer="0.3"/>
</x:worksheet>
</file>