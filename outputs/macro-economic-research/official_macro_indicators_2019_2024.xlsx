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be144baaa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59efc616d5348b5"/>
    <x:sheet xmlns:r="http://schemas.openxmlformats.org/officeDocument/2006/relationships" name="Panel 2019-2024" sheetId="2" r:id="Rbb93d711591e494f"/>
    <x:sheet xmlns:r="http://schemas.openxmlformats.org/officeDocument/2006/relationships" name="Latest 2024" sheetId="3" r:id="R32898c65a2c24f28"/>
    <x:sheet xmlns:r="http://schemas.openxmlformats.org/officeDocument/2006/relationships" name="Sources &amp; Definitions" sheetId="4" r:id="R511bf4f223a740b0"/>
    <x:sheet xmlns:r="http://schemas.openxmlformats.org/officeDocument/2006/relationships" name="Data Quality" sheetId="5" r:id="Rd5412190947d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"/>
    <x:numFmt numFmtId="201" formatCode="#,##0"/>
    <x:numFmt numFmtId="202" formatCode="€#,##0"/>
    <x:numFmt numFmtId="203" formatCode="$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166534"/>
      </x:patternFill>
    </x:fill>
    <x:fill>
      <x:patternFill patternType="solid">
        <x:fgColor rgb="FFF59E0B"/>
      </x:patternFill>
    </x:fill>
  </x:fills>
  <x:borders count="17">
    <x:border/>
    <x:border>
      <x:left style="thin">
        <x:color rgb="FFA7C7B3"/>
      </x:left>
      <x:top style="thin">
        <x:color rgb="FFA7C7B3"/>
      </x:top>
    </x:border>
    <x:border>
      <x:right style="thin">
        <x:color rgb="FFA7C7B3"/>
      </x:right>
      <x:top style="thin">
        <x:color rgb="FFA7C7B3"/>
      </x:top>
    </x:border>
    <x:border>
      <x:left style="thin">
        <x:color rgb="FFA7C7B3"/>
      </x:left>
    </x:border>
    <x:border>
      <x:right style="thin">
        <x:color rgb="FFA7C7B3"/>
      </x:right>
    </x:border>
    <x:border>
      <x:left style="thin">
        <x:color rgb="FFA7C7B3"/>
      </x:left>
      <x:bottom style="thin">
        <x:color rgb="FFA7C7B3"/>
      </x:bottom>
    </x:border>
    <x:border>
      <x:right style="thin">
        <x:color rgb="FFA7C7B3"/>
      </x:right>
      <x:bottom style="thin">
        <x:color rgb="FFA7C7B3"/>
      </x:bottom>
    </x:border>
    <x:border>
      <x:top style="thin">
        <x:color rgb="FFA7C7B3"/>
      </x:top>
    </x:border>
    <x:border>
      <x:bottom style="thin">
        <x:color rgb="FFA7C7B3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/>
    <x:xf numFmtId="0" fontId="0" fillId="0" borderId="4" xfId="0" applyNumberFormat="1" applyFont="1" applyFill="1" applyBorder="1"/>
    <x:xf numFmtId="0" fontId="3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7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200" fontId="0" fillId="0" borderId="8" xfId="0" applyNumberFormat="1" applyFont="1" applyFill="1" applyBorder="1"/>
    <x:xf numFmtId="200" fontId="0" fillId="0" borderId="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</x:cellXfs>
  <x:cellStyles count="1">
    <x:cellStyle name="Normal" xfId="0"/>
  </x:cellStyles>
  <x:dxfs count="1"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79e1ea2a7424e" /><Relationship Type="http://schemas.openxmlformats.org/officeDocument/2006/relationships/theme" Target="/xl/theme/theme1.xml" Id="R810dcaef773249e2" /><Relationship Type="http://schemas.openxmlformats.org/officeDocument/2006/relationships/sharedStrings" Target="/xl/sharedStrings.xml" Id="Rc4c822d6c3eb4a58" /><Relationship Type="http://schemas.openxmlformats.org/officeDocument/2006/relationships/worksheet" Target="/xl/worksheets/sheet1.xml" Id="R359efc616d5348b5" /><Relationship Type="http://schemas.openxmlformats.org/officeDocument/2006/relationships/worksheet" Target="/xl/worksheets/sheet2.xml" Id="Rbb93d711591e494f" /><Relationship Type="http://schemas.openxmlformats.org/officeDocument/2006/relationships/worksheet" Target="/xl/worksheets/sheet3.xml" Id="R32898c65a2c24f28" /><Relationship Type="http://schemas.openxmlformats.org/officeDocument/2006/relationships/worksheet" Target="/xl/worksheets/sheet4.xml" Id="R511bf4f223a740b0" /><Relationship Type="http://schemas.openxmlformats.org/officeDocument/2006/relationships/worksheet" Target="/xl/worksheets/sheet5.xml" Id="Rd5412190947d4b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5" hidden="0" customWidth="1"/>
  </x:cols>
  <x:sheetData>
    <x:row r="1" ht="30" customHeight="1">
      <x:c r="A1" s="3" t="str">
        <x:v>Macroeconomic research dataset — GenAI skills thesis</x:v>
      </x:c>
      <x:c r="B1" s="3"/>
      <x:c r="C1" s="3"/>
      <x:c r="D1" s="3"/>
      <x:c r="E1" s="3"/>
      <x:c r="F1" s="3"/>
    </x:row>
    <x:row r="3">
      <x:c r="A3" s="9" t="str">
        <x:v>Item</x:v>
      </x:c>
      <x:c r="B3" s="10" t="str">
        <x:v>Description</x:v>
      </x:c>
    </x:row>
    <x:row r="4">
      <x:c r="A4" s="15" t="str">
        <x:v>Countries</x:v>
      </x:c>
      <x:c r="B4" s="16" t="str">
        <x:v>Belgium, Czechia, Germany, Greece, Spain, France, Netherlands, Sweden</x:v>
      </x:c>
    </x:row>
    <x:row r="5">
      <x:c r="A5" s="15" t="str">
        <x:v>Period</x:v>
      </x:c>
      <x:c r="B5" s="16" t="str">
        <x:v>2019–2024 annual panel (48 country-year observations)</x:v>
      </x:c>
    </x:row>
    <x:row r="6">
      <x:c r="A6" s="15" t="str">
        <x:v>Purpose</x:v>
      </x:c>
      <x:c r="B6" s="16" t="str">
        <x:v>Country-level controls and descriptive context for wage/skills analysis</x:v>
      </x:c>
    </x:row>
    <x:row r="7">
      <x:c r="A7" s="15" t="str">
        <x:v>Primary sources</x:v>
      </x:c>
      <x:c r="B7" s="16" t="str">
        <x:v>Eurostat, OECD and World Bank — official sites/APIs only</x:v>
      </x:c>
    </x:row>
    <x:row r="8">
      <x:c r="A8" s="15" t="str">
        <x:v>Salary recommendation</x:v>
      </x:c>
      <x:c r="B8" s="16" t="str">
        <x:v>Use OECD PPP wage for cross-country comparisons; use Eurostat EUR salary for nominal EU reporting</x:v>
      </x:c>
    </x:row>
    <x:row r="9">
      <x:c r="A9" s="15" t="str">
        <x:v>STEM definition</x:v>
      </x:c>
      <x:c r="B9" s="16" t="str">
        <x:v>Tertiary graduates in ISCED-F 05 Natural sciences, 06 ICT, 07 Engineering/manufacturing/construction</x:v>
      </x:c>
    </x:row>
    <x:row r="10">
      <x:c r="A10" s="15" t="str">
        <x:v>Missing values</x:v>
      </x:c>
      <x:c r="B10" s="16" t="str">
        <x:v>Kept blank; never replaced by zero. See Data Quality sheet.</x:v>
      </x:c>
    </x:row>
    <x:row r="11">
      <x:c r="A11" s="15" t="str">
        <x:v>Country codes</x:v>
      </x:c>
      <x:c r="B11" s="16" t="str">
        <x:v>Eurostat uses EL for Greece; World Bank uses GR/GRC; OECD uses GRC.</x:v>
      </x:c>
    </x:row>
    <x:row r="12">
      <x:c r="A12" s="17" t="str">
        <x:v>Causal caution</x:v>
      </x:c>
      <x:c r="B12" s="18" t="str">
        <x:v>Country indicators are contextual controls; with only 8 countries, avoid strong causal claims.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9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48" customHeight="1">
      <x:c r="A1" s="19" t="str">
        <x:v>country_code</x:v>
      </x:c>
      <x:c r="B1" s="19" t="str">
        <x:v>country</x:v>
      </x:c>
      <x:c r="C1" s="19" t="str">
        <x:v>year</x:v>
      </x:c>
      <x:c r="D1" s="19" t="str">
        <x:v>gdp_per_capita_ppp_constant_2021_intl_usd</x:v>
      </x:c>
      <x:c r="E1" s="19" t="str">
        <x:v>real_gdp_growth_percent</x:v>
      </x:c>
      <x:c r="F1" s="19" t="str">
        <x:v>unemployment_percent_labor_force</x:v>
      </x:c>
      <x:c r="G1" s="19" t="str">
        <x:v>inflation_cpi_percent</x:v>
      </x:c>
      <x:c r="H1" s="19" t="str">
        <x:v>rd_expenditure_percent_gdp</x:v>
      </x:c>
      <x:c r="I1" s="19" t="str">
        <x:v>labor_productivity_constant_2021_ppp_per_employed</x:v>
      </x:c>
      <x:c r="J1" s="19" t="str">
        <x:v>tertiary_enrollment_gross_percent</x:v>
      </x:c>
      <x:c r="K1" s="19" t="str">
        <x:v>internet_users_percent_population</x:v>
      </x:c>
      <x:c r="L1" s="19" t="str">
        <x:v>population_total</x:v>
      </x:c>
      <x:c r="M1" s="19" t="str">
        <x:v>trade_percent_gdp</x:v>
      </x:c>
      <x:c r="N1" s="19" t="str">
        <x:v>avg_full_time_adjusted_salary_eur</x:v>
      </x:c>
      <x:c r="O1" s="19" t="str">
        <x:v>tertiary_stem_graduates_per_1000</x:v>
      </x:c>
      <x:c r="P1" s="19" t="str">
        <x:v>avg_annual_wage_constant_2025_usd_ppp</x:v>
      </x:c>
      <x:c r="Q1" s="19" t="str">
        <x:v>avg_annual_wage_eur</x:v>
      </x:c>
    </x:row>
    <x:row r="2">
      <x:c r="A2" s="25" t="str">
        <x:v>BE</x:v>
      </x:c>
      <x:c r="B2" s="25" t="str">
        <x:v>Belgium</x:v>
      </x:c>
      <x:c r="C2" s="25" t="n">
        <x:v>2019</x:v>
      </x:c>
      <x:c r="D2" s="26" t="n">
        <x:v>60479.9769955469</x:v>
      </x:c>
      <x:c r="E2" s="26" t="n">
        <x:v>2.4428900448</x:v>
      </x:c>
      <x:c r="F2" s="26" t="n">
        <x:v>5.364</x:v>
      </x:c>
      <x:c r="G2" s="26" t="n">
        <x:v>1.43681957</x:v>
      </x:c>
      <x:c r="H2" s="26" t="n">
        <x:v>3.15154</x:v>
      </x:c>
      <x:c r="I2" s="26" t="n">
        <x:v>142675.533329534</x:v>
      </x:c>
      <x:c r="J2" s="26" t="n">
        <x:v>79.3044815063</x:v>
      </x:c>
      <x:c r="K2" s="26" t="n">
        <x:v>90.2754280121</x:v>
      </x:c>
      <x:c r="L2" s="27" t="n">
        <x:v>11488980</x:v>
      </x:c>
      <x:c r="M2" s="26" t="n">
        <x:v>165.465478932</x:v>
      </x:c>
      <x:c r="N2" s="28" t="n">
        <x:v>47550</x:v>
      </x:c>
      <x:c r="O2" s="26" t="n">
        <x:v>14.2</x:v>
      </x:c>
      <x:c r="P2" s="29" t="n">
        <x:v>77530.415</x:v>
      </x:c>
      <x:c r="Q2" s="28" t="n">
        <x:v>47229.052</x:v>
      </x:c>
    </x:row>
    <x:row r="3">
      <x:c r="A3" s="25" t="str">
        <x:v>BE</x:v>
      </x:c>
      <x:c r="B3" s="25" t="str">
        <x:v>Belgium</x:v>
      </x:c>
      <x:c r="C3" s="25" t="n">
        <x:v>2020</x:v>
      </x:c>
      <x:c r="D3" s="26" t="n">
        <x:v>57333.5424137924</x:v>
      </x:c>
      <x:c r="E3" s="26" t="n">
        <x:v>-4.7929839084</x:v>
      </x:c>
      <x:c r="F3" s="26" t="n">
        <x:v>5.545</x:v>
      </x:c>
      <x:c r="G3" s="26" t="n">
        <x:v>0.7407918122</x:v>
      </x:c>
      <x:c r="H3" s="26" t="n">
        <x:v>3.36823</x:v>
      </x:c>
      <x:c r="I3" s="26" t="n">
        <x:v>136668.184090266</x:v>
      </x:c>
      <x:c r="J3" s="26" t="n">
        <x:v>79.4996032715</x:v>
      </x:c>
      <x:c r="K3" s="26" t="n">
        <x:v>91.52641629</x:v>
      </x:c>
      <x:c r="L3" s="27" t="n">
        <x:v>11538604</x:v>
      </x:c>
      <x:c r="M3" s="26" t="n">
        <x:v>156.9501212828</x:v>
      </x:c>
      <x:c r="N3" s="28" t="n">
        <x:v>46543</x:v>
      </x:c>
      <x:c r="O3" s="26" t="n">
        <x:v>15.7</x:v>
      </x:c>
      <x:c r="P3" s="29" t="n">
        <x:v>75470.615</x:v>
      </x:c>
      <x:c r="Q3" s="28" t="n">
        <x:v>46395.499</x:v>
      </x:c>
    </x:row>
    <x:row r="4">
      <x:c r="A4" s="25" t="str">
        <x:v>BE</x:v>
      </x:c>
      <x:c r="B4" s="25" t="str">
        <x:v>Belgium</x:v>
      </x:c>
      <x:c r="C4" s="25" t="n">
        <x:v>2021</x:v>
      </x:c>
      <x:c r="D4" s="26" t="n">
        <x:v>60669.2137746534</x:v>
      </x:c>
      <x:c r="E4" s="26" t="n">
        <x:v>6.2544568647</x:v>
      </x:c>
      <x:c r="F4" s="26" t="n">
        <x:v>6.248</x:v>
      </x:c>
      <x:c r="G4" s="26" t="n">
        <x:v>2.4402485114</x:v>
      </x:c>
      <x:c r="H4" s="26" t="n">
        <x:v>3.40589</x:v>
      </x:c>
      <x:c r="I4" s="26" t="n">
        <x:v>143705.694905106</x:v>
      </x:c>
      <x:c r="J4" s="26" t="n">
        <x:v>82.6882019043</x:v>
      </x:c>
      <x:c r="K4" s="26" t="n">
        <x:v>92.78867618</x:v>
      </x:c>
      <x:c r="L4" s="27" t="n">
        <x:v>11586195</x:v>
      </x:c>
      <x:c r="M4" s="26" t="n">
        <x:v>177.3819122011</x:v>
      </x:c>
      <x:c r="N4" s="28" t="n">
        <x:v>49706</x:v>
      </x:c>
      <x:c r="O4" s="26" t="n">
        <x:v>16.4</x:v>
      </x:c>
      <x:c r="P4" s="29" t="n">
        <x:v>78225.571</x:v>
      </x:c>
      <x:c r="Q4" s="28" t="n">
        <x:v>49372.351</x:v>
      </x:c>
    </x:row>
    <x:row r="5">
      <x:c r="A5" s="25" t="str">
        <x:v>BE</x:v>
      </x:c>
      <x:c r="B5" s="25" t="str">
        <x:v>Belgium</x:v>
      </x:c>
      <x:c r="C5" s="25" t="n">
        <x:v>2022</x:v>
      </x:c>
      <x:c r="D5" s="26" t="n">
        <x:v>62602.9270469765</x:v>
      </x:c>
      <x:c r="E5" s="26" t="n">
        <x:v>4.0246085284</x:v>
      </x:c>
      <x:c r="F5" s="26" t="n">
        <x:v>5.57</x:v>
      </x:c>
      <x:c r="G5" s="26" t="n">
        <x:v>9.5975117287</x:v>
      </x:c>
      <x:c r="H5" s="26" t="n">
        <x:v>3.19592</x:v>
      </x:c>
      <x:c r="I5" s="26" t="n">
        <x:v>145529.767303213</x:v>
      </x:c>
      <x:c r="J5" s="26" t="n">
        <x:v>83.5736465454</x:v>
      </x:c>
      <x:c r="K5" s="26" t="n">
        <x:v>94.00783071</x:v>
      </x:c>
      <x:c r="L5" s="27" t="n">
        <x:v>11680210</x:v>
      </x:c>
      <x:c r="M5" s="26" t="n">
        <x:v>191.0534181316</x:v>
      </x:c>
      <x:c r="N5" s="28" t="n">
        <x:v>53559</x:v>
      </x:c>
      <x:c r="O5" s="26" t="n">
        <x:v>16.4</x:v>
      </x:c>
      <x:c r="P5" s="29" t="n">
        <x:v>76345.885</x:v>
      </x:c>
      <x:c r="Q5" s="28" t="n">
        <x:v>53292.58</x:v>
      </x:c>
    </x:row>
    <x:row r="6">
      <x:c r="A6" s="25" t="str">
        <x:v>BE</x:v>
      </x:c>
      <x:c r="B6" s="25" t="str">
        <x:v>Belgium</x:v>
      </x:c>
      <x:c r="C6" s="25" t="n">
        <x:v>2023</x:v>
      </x:c>
      <x:c r="D6" s="26" t="n">
        <x:v>63042.0099876309</x:v>
      </x:c>
      <x:c r="E6" s="26" t="n">
        <x:v>1.5612553954</x:v>
      </x:c>
      <x:c r="F6" s="26" t="n">
        <x:v>5.547</x:v>
      </x:c>
      <x:c r="G6" s="26" t="n">
        <x:v>4.0490107761</x:v>
      </x:c>
      <x:c r="H6" s="26" t="n">
        <x:v>3.27235</x:v>
      </x:c>
      <x:c r="I6" s="26" t="n">
        <x:v>146547.319672296</x:v>
      </x:c>
      <x:c r="J6" s="26" t="n">
        <x:v>82.1475601196</x:v>
      </x:c>
      <x:c r="K6" s="26" t="n">
        <x:v>94.62625074</x:v>
      </x:c>
      <x:c r="L6" s="27" t="n">
        <x:v>11779946</x:v>
      </x:c>
      <x:c r="M6" s="26" t="n">
        <x:v>165.9874407364</x:v>
      </x:c>
      <x:c r="N6" s="28" t="n">
        <x:v>57756</x:v>
      </x:c>
      <x:c r="O6" s="26" t="n">
        <x:v>17.2</x:v>
      </x:c>
      <x:c r="P6" s="29" t="n">
        <x:v>77456.239</x:v>
      </x:c>
      <x:c r="Q6" s="28" t="n">
        <x:v>57465.696</x:v>
      </x:c>
    </x:row>
    <x:row r="7">
      <x:c r="A7" s="25" t="str">
        <x:v>BE</x:v>
      </x:c>
      <x:c r="B7" s="25" t="str">
        <x:v>Belgium</x:v>
      </x:c>
      <x:c r="C7" s="25" t="n">
        <x:v>2024</x:v>
      </x:c>
      <x:c r="D7" s="26" t="n">
        <x:v>63311.2766917178</x:v>
      </x:c>
      <x:c r="E7" s="26" t="n">
        <x:v>1.0977538383</x:v>
      </x:c>
      <x:c r="F7" s="26" t="n">
        <x:v>5.7</x:v>
      </x:c>
      <x:c r="G7" s="26" t="n">
        <x:v>3.143491365</x:v>
      </x:c>
      <x:c r="H7" s="26"/>
      <x:c r="I7" s="26" t="n">
        <x:v>146545.886445007</x:v>
      </x:c>
      <x:c r="J7" s="26"/>
      <x:c r="K7" s="26" t="n">
        <x:v>95.77579144</x:v>
      </x:c>
      <x:c r="L7" s="27" t="n">
        <x:v>11858610</x:v>
      </x:c>
      <x:c r="M7" s="26" t="n">
        <x:v>159.0234811489</x:v>
      </x:c>
      <x:c r="N7" s="28" t="n">
        <x:v>59632</x:v>
      </x:c>
      <x:c r="O7" s="26" t="n">
        <x:v>17.5</x:v>
      </x:c>
      <x:c r="P7" s="29" t="n">
        <x:v>78614.158</x:v>
      </x:c>
      <x:c r="Q7" s="28" t="n">
        <x:v>59327.036</x:v>
      </x:c>
    </x:row>
    <x:row r="8">
      <x:c r="A8" s="25" t="str">
        <x:v>CZ</x:v>
      </x:c>
      <x:c r="B8" s="25" t="str">
        <x:v>Czechia</x:v>
      </x:c>
      <x:c r="C8" s="25" t="n">
        <x:v>2019</x:v>
      </x:c>
      <x:c r="D8" s="26" t="n">
        <x:v>47763.6165520254</x:v>
      </x:c>
      <x:c r="E8" s="26" t="n">
        <x:v>3.5657765813</x:v>
      </x:c>
      <x:c r="F8" s="26" t="n">
        <x:v>2.015</x:v>
      </x:c>
      <x:c r="G8" s="26" t="n">
        <x:v>2.8478759592</x:v>
      </x:c>
      <x:c r="H8" s="26" t="n">
        <x:v>1.89547</x:v>
      </x:c>
      <x:c r="I8" s="26" t="n">
        <x:v>96427.3835750095</x:v>
      </x:c>
      <x:c r="J8" s="26" t="n">
        <x:v>66.8802185059</x:v>
      </x:c>
      <x:c r="K8" s="26" t="n">
        <x:v>80.866944414</x:v>
      </x:c>
      <x:c r="L8" s="27" t="n">
        <x:v>10671870</x:v>
      </x:c>
      <x:c r="M8" s="26" t="n">
        <x:v>138.1546099939</x:v>
      </x:c>
      <x:c r="N8" s="28" t="n">
        <x:v>17375</x:v>
      </x:c>
      <x:c r="O8" s="26" t="n">
        <x:v>16.1</x:v>
      </x:c>
      <x:c r="P8" s="29" t="n">
        <x:v>42594.854</x:v>
      </x:c>
      <x:c r="Q8" s="28"/>
    </x:row>
    <x:row r="9">
      <x:c r="A9" s="25" t="str">
        <x:v>CZ</x:v>
      </x:c>
      <x:c r="B9" s="25" t="str">
        <x:v>Czechia</x:v>
      </x:c>
      <x:c r="C9" s="25" t="n">
        <x:v>2020</x:v>
      </x:c>
      <x:c r="D9" s="26" t="n">
        <x:v>45119.9387309139</x:v>
      </x:c>
      <x:c r="E9" s="26" t="n">
        <x:v>-5.3048795546</x:v>
      </x:c>
      <x:c r="F9" s="26" t="n">
        <x:v>2.55</x:v>
      </x:c>
      <x:c r="G9" s="26" t="n">
        <x:v>3.161295285</x:v>
      </x:c>
      <x:c r="H9" s="26" t="n">
        <x:v>1.94537</x:v>
      </x:c>
      <x:c r="I9" s="26" t="n">
        <x:v>92703.3335731518</x:v>
      </x:c>
      <x:c r="J9" s="26" t="n">
        <x:v>67.1843719482</x:v>
      </x:c>
      <x:c r="K9" s="26" t="n">
        <x:v>81.33889705</x:v>
      </x:c>
      <x:c r="L9" s="27" t="n">
        <x:v>10697858</x:v>
      </x:c>
      <x:c r="M9" s="26" t="n">
        <x:v>128.780430306</x:v>
      </x:c>
      <x:c r="N9" s="28" t="n">
        <x:v>17222</x:v>
      </x:c>
      <x:c r="O9" s="26" t="n">
        <x:v>16</x:v>
      </x:c>
      <x:c r="P9" s="29" t="n">
        <x:v>42330.369</x:v>
      </x:c>
      <x:c r="Q9" s="28"/>
    </x:row>
    <x:row r="10">
      <x:c r="A10" s="25" t="str">
        <x:v>CZ</x:v>
      </x:c>
      <x:c r="B10" s="25" t="str">
        <x:v>Czechia</x:v>
      </x:c>
      <x:c r="C10" s="25" t="n">
        <x:v>2021</x:v>
      </x:c>
      <x:c r="D10" s="26" t="n">
        <x:v>47796.0337408466</x:v>
      </x:c>
      <x:c r="E10" s="26" t="n">
        <x:v>4.0290183206</x:v>
      </x:c>
      <x:c r="F10" s="26" t="n">
        <x:v>2.803</x:v>
      </x:c>
      <x:c r="G10" s="26" t="n">
        <x:v>3.839844915</x:v>
      </x:c>
      <x:c r="H10" s="26" t="n">
        <x:v>1.93302</x:v>
      </x:c>
      <x:c r="I10" s="26" t="n">
        <x:v>98551.0843875464</x:v>
      </x:c>
      <x:c r="J10" s="26" t="n">
        <x:v>69.8369293213</x:v>
      </x:c>
      <x:c r="K10" s="26" t="n">
        <x:v>82.67062427</x:v>
      </x:c>
      <x:c r="L10" s="27" t="n">
        <x:v>10505772</x:v>
      </x:c>
      <x:c r="M10" s="26" t="n">
        <x:v>137.3781163029</x:v>
      </x:c>
      <x:c r="N10" s="28" t="n">
        <x:v>18875</x:v>
      </x:c>
      <x:c r="O10" s="26" t="n">
        <x:v>16</x:v>
      </x:c>
      <x:c r="P10" s="29" t="n">
        <x:v>43202.076</x:v>
      </x:c>
      <x:c r="Q10" s="28"/>
    </x:row>
    <x:row r="11">
      <x:c r="A11" s="25" t="str">
        <x:v>CZ</x:v>
      </x:c>
      <x:c r="B11" s="25" t="str">
        <x:v>Czechia</x:v>
      </x:c>
      <x:c r="C11" s="25" t="n">
        <x:v>2022</x:v>
      </x:c>
      <x:c r="D11" s="26" t="n">
        <x:v>48390.661678675</x:v>
      </x:c>
      <x:c r="E11" s="26" t="n">
        <x:v>2.8471706584</x:v>
      </x:c>
      <x:c r="F11" s="26" t="n">
        <x:v>2.224</x:v>
      </x:c>
      <x:c r="G11" s="26" t="n">
        <x:v>15.1001651468</x:v>
      </x:c>
      <x:c r="H11" s="26" t="n">
        <x:v>1.89089</x:v>
      </x:c>
      <x:c r="I11" s="26" t="n">
        <x:v>98358.3388438324</x:v>
      </x:c>
      <x:c r="J11" s="26" t="n">
        <x:v>70.8145904541</x:v>
      </x:c>
      <x:c r="K11" s="26" t="n">
        <x:v>84.54009378</x:v>
      </x:c>
      <x:c r="L11" s="27" t="n">
        <x:v>10672118</x:v>
      </x:c>
      <x:c r="M11" s="26" t="n">
        <x:v>144.0114941094</x:v>
      </x:c>
      <x:c r="N11" s="28" t="n">
        <x:v>21370</x:v>
      </x:c>
      <x:c r="O11" s="26" t="n">
        <x:v>15.8</x:v>
      </x:c>
      <x:c r="P11" s="29" t="n">
        <x:v>41059.62</x:v>
      </x:c>
      <x:c r="Q11" s="28"/>
    </x:row>
    <x:row r="12">
      <x:c r="A12" s="25" t="str">
        <x:v>CZ</x:v>
      </x:c>
      <x:c r="B12" s="25" t="str">
        <x:v>Czechia</x:v>
      </x:c>
      <x:c r="C12" s="25" t="n">
        <x:v>2023</x:v>
      </x:c>
      <x:c r="D12" s="26" t="n">
        <x:v>47558.4106763314</x:v>
      </x:c>
      <x:c r="E12" s="26" t="n">
        <x:v>0.0475803309</x:v>
      </x:c>
      <x:c r="F12" s="26" t="n">
        <x:v>2.579</x:v>
      </x:c>
      <x:c r="G12" s="26" t="n">
        <x:v>10.6612601372</x:v>
      </x:c>
      <x:c r="H12" s="26" t="n">
        <x:v>1.83369</x:v>
      </x:c>
      <x:c r="I12" s="26" t="n">
        <x:v>95792.8354094171</x:v>
      </x:c>
      <x:c r="J12" s="26" t="n">
        <x:v>66.7282867432</x:v>
      </x:c>
      <x:c r="K12" s="26" t="n">
        <x:v>85.99404818</x:v>
      </x:c>
      <x:c r="L12" s="27" t="n">
        <x:v>10864042</x:v>
      </x:c>
      <x:c r="M12" s="26" t="n">
        <x:v>131.8925982959</x:v>
      </x:c>
      <x:c r="N12" s="28" t="n">
        <x:v>23609</x:v>
      </x:c>
      <x:c r="O12" s="26" t="n">
        <x:v>16.1</x:v>
      </x:c>
      <x:c r="P12" s="29" t="n">
        <x:v>40594.508</x:v>
      </x:c>
      <x:c r="Q12" s="28"/>
    </x:row>
    <x:row r="13">
      <x:c r="A13" s="25" t="str">
        <x:v>CZ</x:v>
      </x:c>
      <x:c r="B13" s="25" t="str">
        <x:v>Czechia</x:v>
      </x:c>
      <x:c r="C13" s="25" t="n">
        <x:v>2024</x:v>
      </x:c>
      <x:c r="D13" s="26" t="n">
        <x:v>47972.53171792</x:v>
      </x:c>
      <x:c r="E13" s="26" t="n">
        <x:v>1.2513109625</x:v>
      </x:c>
      <x:c r="F13" s="26" t="n">
        <x:v>2.6</x:v>
      </x:c>
      <x:c r="G13" s="26" t="n">
        <x:v>2.4353120244</x:v>
      </x:c>
      <x:c r="H13" s="26"/>
      <x:c r="I13" s="26" t="n">
        <x:v>96029.1779110534</x:v>
      </x:c>
      <x:c r="J13" s="26"/>
      <x:c r="K13" s="26" t="n">
        <x:v>87.68776014</x:v>
      </x:c>
      <x:c r="L13" s="27" t="n">
        <x:v>10905028</x:v>
      </x:c>
      <x:c r="M13" s="26" t="n">
        <x:v>131.4666081256</x:v>
      </x:c>
      <x:c r="N13" s="28" t="n">
        <x:v>23998</x:v>
      </x:c>
      <x:c r="O13" s="26" t="n">
        <x:v>17.1</x:v>
      </x:c>
      <x:c r="P13" s="29" t="n">
        <x:v>41953.664</x:v>
      </x:c>
      <x:c r="Q13" s="28"/>
    </x:row>
    <x:row r="14">
      <x:c r="A14" s="25" t="str">
        <x:v>DE</x:v>
      </x:c>
      <x:c r="B14" s="25" t="str">
        <x:v>Germany</x:v>
      </x:c>
      <x:c r="C14" s="25" t="n">
        <x:v>2019</x:v>
      </x:c>
      <x:c r="D14" s="26" t="n">
        <x:v>62949.8932511855</x:v>
      </x:c>
      <x:c r="E14" s="26" t="n">
        <x:v>0.977734697</x:v>
      </x:c>
      <x:c r="F14" s="26" t="n">
        <x:v>3.163</x:v>
      </x:c>
      <x:c r="G14" s="26" t="n">
        <x:v>1.4456597689</x:v>
      </x:c>
      <x:c r="H14" s="26" t="n">
        <x:v>3.11256</x:v>
      </x:c>
      <x:c r="I14" s="26" t="n">
        <x:v>122812.78891255</x:v>
      </x:c>
      <x:c r="J14" s="26" t="n">
        <x:v>72.705078125</x:v>
      </x:c>
      <x:c r="K14" s="26" t="n">
        <x:v>88.1345169092</x:v>
      </x:c>
      <x:c r="L14" s="27" t="n">
        <x:v>83092962</x:v>
      </x:c>
      <x:c r="M14" s="26" t="n">
        <x:v>79.0732427176</x:v>
      </x:c>
      <x:c r="N14" s="28" t="n">
        <x:v>44827</x:v>
      </x:c>
      <x:c r="O14" s="26" t="n">
        <x:v>24.4</x:v>
      </x:c>
      <x:c r="P14" s="29" t="n">
        <x:v>75376.183</x:v>
      </x:c>
      <x:c r="Q14" s="28" t="n">
        <x:v>43670.057</x:v>
      </x:c>
    </x:row>
    <x:row r="15">
      <x:c r="A15" s="25" t="str">
        <x:v>DE</x:v>
      </x:c>
      <x:c r="B15" s="25" t="str">
        <x:v>Germany</x:v>
      </x:c>
      <x:c r="C15" s="25" t="n">
        <x:v>2020</x:v>
      </x:c>
      <x:c r="D15" s="26" t="n">
        <x:v>60299.5767710809</x:v>
      </x:c>
      <x:c r="E15" s="26" t="n">
        <x:v>-4.1319144324</x:v>
      </x:c>
      <x:c r="F15" s="26" t="n">
        <x:v>3.881</x:v>
      </x:c>
      <x:c r="G15" s="26" t="n">
        <x:v>0.1448779258</x:v>
      </x:c>
      <x:c r="H15" s="26" t="n">
        <x:v>3.0897</x:v>
      </x:c>
      <x:c r="I15" s="26" t="n">
        <x:v>120283.600429596</x:v>
      </x:c>
      <x:c r="J15" s="26" t="n">
        <x:v>72.3894195557</x:v>
      </x:c>
      <x:c r="K15" s="26" t="n">
        <x:v>89.81294133</x:v>
      </x:c>
      <x:c r="L15" s="27" t="n">
        <x:v>83160871</x:v>
      </x:c>
      <x:c r="M15" s="26" t="n">
        <x:v>72.933532712</x:v>
      </x:c>
      <x:c r="N15" s="28" t="n">
        <x:v>44377</x:v>
      </x:c>
      <x:c r="O15" s="26" t="n">
        <x:v>22.3</x:v>
      </x:c>
      <x:c r="P15" s="29" t="n">
        <x:v>74806.641</x:v>
      </x:c>
      <x:c r="Q15" s="28" t="n">
        <x:v>43580.409</x:v>
      </x:c>
    </x:row>
    <x:row r="16">
      <x:c r="A16" s="25" t="str">
        <x:v>DE</x:v>
      </x:c>
      <x:c r="B16" s="25" t="str">
        <x:v>Germany</x:v>
      </x:c>
      <x:c r="C16" s="25" t="n">
        <x:v>2021</x:v>
      </x:c>
      <x:c r="D16" s="26" t="n">
        <x:v>62630.7748127737</x:v>
      </x:c>
      <x:c r="E16" s="26" t="n">
        <x:v>3.909999942</x:v>
      </x:c>
      <x:c r="F16" s="26" t="n">
        <x:v>3.594</x:v>
      </x:c>
      <x:c r="G16" s="26" t="n">
        <x:v>3.0666666667</x:v>
      </x:c>
      <x:c r="H16" s="26" t="n">
        <x:v>3.0786</x:v>
      </x:c>
      <x:c r="I16" s="26" t="n">
        <x:v>124873.256541338</x:v>
      </x:c>
      <x:c r="J16" s="26" t="n">
        <x:v>75.6655426025</x:v>
      </x:c>
      <x:c r="K16" s="26" t="n">
        <x:v>91.43060973</x:v>
      </x:c>
      <x:c r="L16" s="27" t="n">
        <x:v>83196078</x:v>
      </x:c>
      <x:c r="M16" s="26" t="n">
        <x:v>79.919534861</x:v>
      </x:c>
      <x:c r="N16" s="28" t="n">
        <x:v>45718</x:v>
      </x:c>
      <x:c r="O16" s="26" t="n">
        <x:v>24</x:v>
      </x:c>
      <x:c r="P16" s="29" t="n">
        <x:v>74656.666</x:v>
      </x:c>
      <x:c r="Q16" s="28" t="n">
        <x:v>44917.797</x:v>
      </x:c>
    </x:row>
    <x:row r="17">
      <x:c r="A17" s="25" t="str">
        <x:v>DE</x:v>
      </x:c>
      <x:c r="B17" s="25" t="str">
        <x:v>Germany</x:v>
      </x:c>
      <x:c r="C17" s="25" t="n">
        <x:v>2022</x:v>
      </x:c>
      <x:c r="D17" s="26" t="n">
        <x:v>63777.9291029299</x:v>
      </x:c>
      <x:c r="E17" s="26" t="n">
        <x:v>1.8092581243</x:v>
      </x:c>
      <x:c r="F17" s="26" t="n">
        <x:v>3.137</x:v>
      </x:c>
      <x:c r="G17" s="26" t="n">
        <x:v>6.8725743855</x:v>
      </x:c>
      <x:c r="H17" s="26" t="n">
        <x:v>3.07096</x:v>
      </x:c>
      <x:c r="I17" s="26" t="n">
        <x:v>125725.542138246</x:v>
      </x:c>
      <x:c r="J17" s="26" t="n">
        <x:v>77.3656997681</x:v>
      </x:c>
      <x:c r="K17" s="26" t="n">
        <x:v>91.62984383</x:v>
      </x:c>
      <x:c r="L17" s="27" t="n">
        <x:v>83177813</x:v>
      </x:c>
      <x:c r="M17" s="26" t="n">
        <x:v>88.7857542131</x:v>
      </x:c>
      <x:c r="N17" s="28" t="n">
        <x:v>47725</x:v>
      </x:c>
      <x:c r="O17" s="26" t="n">
        <x:v>24.3</x:v>
      </x:c>
      <x:c r="P17" s="29" t="n">
        <x:v>73053.743</x:v>
      </x:c>
      <x:c r="Q17" s="28" t="n">
        <x:v>46913.072</x:v>
      </x:c>
    </x:row>
    <x:row r="18">
      <x:c r="A18" s="25" t="str">
        <x:v>DE</x:v>
      </x:c>
      <x:c r="B18" s="25" t="str">
        <x:v>Germany</x:v>
      </x:c>
      <x:c r="C18" s="25" t="n">
        <x:v>2023</x:v>
      </x:c>
      <x:c r="D18" s="26" t="n">
        <x:v>63140.1949099669</x:v>
      </x:c>
      <x:c r="E18" s="26" t="n">
        <x:v>-0.8696475786</x:v>
      </x:c>
      <x:c r="F18" s="26" t="n">
        <x:v>3.071</x:v>
      </x:c>
      <x:c r="G18" s="26" t="n">
        <x:v>5.9464366773</x:v>
      </x:c>
      <x:c r="H18" s="26" t="n">
        <x:v>3.1539</x:v>
      </x:c>
      <x:c r="I18" s="26" t="n">
        <x:v>123949.005178566</x:v>
      </x:c>
      <x:c r="J18" s="26" t="n">
        <x:v>78.5947494507</x:v>
      </x:c>
      <x:c r="K18" s="26" t="n">
        <x:v>92.4763763</x:v>
      </x:c>
      <x:c r="L18" s="27" t="n">
        <x:v>83287273</x:v>
      </x:c>
      <x:c r="M18" s="26" t="n">
        <x:v>81.9625483788</x:v>
      </x:c>
      <x:c r="N18" s="28" t="n">
        <x:v>50996</x:v>
      </x:c>
      <x:c r="O18" s="26" t="n">
        <x:v>24.2</x:v>
      </x:c>
      <x:c r="P18" s="29" t="n">
        <x:v>72953.447</x:v>
      </x:c>
      <x:c r="Q18" s="28" t="n">
        <x:v>49961.127</x:v>
      </x:c>
    </x:row>
    <x:row r="19">
      <x:c r="A19" s="25" t="str">
        <x:v>DE</x:v>
      </x:c>
      <x:c r="B19" s="25" t="str">
        <x:v>Germany</x:v>
      </x:c>
      <x:c r="C19" s="25" t="n">
        <x:v>2024</x:v>
      </x:c>
      <x:c r="D19" s="26" t="n">
        <x:v>62654.602264023</x:v>
      </x:c>
      <x:c r="E19" s="26" t="n">
        <x:v>-0.4958518973</x:v>
      </x:c>
      <x:c r="F19" s="26" t="n">
        <x:v>3.4</x:v>
      </x:c>
      <x:c r="G19" s="26" t="n">
        <x:v>2.2564981434</x:v>
      </x:c>
      <x:c r="H19" s="26"/>
      <x:c r="I19" s="26" t="n">
        <x:v>123669.324150945</x:v>
      </x:c>
      <x:c r="J19" s="26" t="n">
        <x:v>76.7096862793</x:v>
      </x:c>
      <x:c r="K19" s="26" t="n">
        <x:v>93.49999579</x:v>
      </x:c>
      <x:c r="L19" s="27" t="n">
        <x:v>83516593</x:v>
      </x:c>
      <x:c r="M19" s="26" t="n">
        <x:v>79.0907305895</x:v>
      </x:c>
      <x:c r="N19" s="28" t="n">
        <x:v>53791</x:v>
      </x:c>
      <x:c r="O19" s="26" t="n">
        <x:v>24.4</x:v>
      </x:c>
      <x:c r="P19" s="29" t="n">
        <x:v>74854.088</x:v>
      </x:c>
      <x:c r="Q19" s="28" t="n">
        <x:v>52476.531</x:v>
      </x:c>
    </x:row>
    <x:row r="20">
      <x:c r="A20" s="25" t="str">
        <x:v>EL</x:v>
      </x:c>
      <x:c r="B20" s="25" t="str">
        <x:v>Greece</x:v>
      </x:c>
      <x:c r="C20" s="25" t="n">
        <x:v>2019</x:v>
      </x:c>
      <x:c r="D20" s="26" t="n">
        <x:v>33502.7506488997</x:v>
      </x:c>
      <x:c r="E20" s="26" t="n">
        <x:v>2.2771806533</x:v>
      </x:c>
      <x:c r="F20" s="26" t="n">
        <x:v>17.045</x:v>
      </x:c>
      <x:c r="G20" s="26" t="n">
        <x:v>0.253007522</x:v>
      </x:c>
      <x:c r="H20" s="26" t="n">
        <x:v>1.26236</x:v>
      </x:c>
      <x:c r="I20" s="26" t="n">
        <x:v>92661.4517378883</x:v>
      </x:c>
      <x:c r="J20" s="26" t="n">
        <x:v>143.9627227783</x:v>
      </x:c>
      <x:c r="K20" s="26" t="n">
        <x:v>75.6712066932</x:v>
      </x:c>
      <x:c r="L20" s="27" t="n">
        <x:v>10721582</x:v>
      </x:c>
      <x:c r="M20" s="26" t="n">
        <x:v>80.590094951</x:v>
      </x:c>
      <x:c r="N20" s="28" t="n">
        <x:v>15967</x:v>
      </x:c>
      <x:c r="O20" s="26" t="n">
        <x:v>17.2</x:v>
      </x:c>
      <x:c r="P20" s="29" t="n">
        <x:v>32442.169</x:v>
      </x:c>
      <x:c r="Q20" s="28" t="n">
        <x:v>16212.143</x:v>
      </x:c>
    </x:row>
    <x:row r="21">
      <x:c r="A21" s="25" t="str">
        <x:v>EL</x:v>
      </x:c>
      <x:c r="B21" s="25" t="str">
        <x:v>Greece</x:v>
      </x:c>
      <x:c r="C21" s="25" t="n">
        <x:v>2020</x:v>
      </x:c>
      <x:c r="D21" s="26" t="n">
        <x:v>30487.1129331045</x:v>
      </x:c>
      <x:c r="E21" s="26" t="n">
        <x:v>-9.1962314973</x:v>
      </x:c>
      <x:c r="F21" s="26" t="n">
        <x:v>15.899</x:v>
      </x:c>
      <x:c r="G21" s="26" t="n">
        <x:v>-1.2479835558</x:v>
      </x:c>
      <x:c r="H21" s="26" t="n">
        <x:v>1.48872</x:v>
      </x:c>
      <x:c r="I21" s="26" t="n">
        <x:v>84377.6707609109</x:v>
      </x:c>
      <x:c r="J21" s="26" t="n">
        <x:v>143.6933441162</x:v>
      </x:c>
      <x:c r="K21" s="26" t="n">
        <x:v>78.11584474</x:v>
      </x:c>
      <x:c r="L21" s="27" t="n">
        <x:v>10698599</x:v>
      </x:c>
      <x:c r="M21" s="26" t="n">
        <x:v>70.2937464581</x:v>
      </x:c>
      <x:c r="N21" s="28" t="n">
        <x:v>15859</x:v>
      </x:c>
      <x:c r="O21" s="26" t="n">
        <x:v>16.8</x:v>
      </x:c>
      <x:c r="P21" s="29" t="n">
        <x:v>32517.391</x:v>
      </x:c>
      <x:c r="Q21" s="28" t="n">
        <x:v>16061.205</x:v>
      </x:c>
    </x:row>
    <x:row r="22">
      <x:c r="A22" s="25" t="str">
        <x:v>EL</x:v>
      </x:c>
      <x:c r="B22" s="25" t="str">
        <x:v>Greece</x:v>
      </x:c>
      <x:c r="C22" s="25" t="n">
        <x:v>2021</x:v>
      </x:c>
      <x:c r="D22" s="26" t="n">
        <x:v>33528.2271202515</x:v>
      </x:c>
      <x:c r="E22" s="26" t="n">
        <x:v>8.65449786</x:v>
      </x:c>
      <x:c r="F22" s="26" t="n">
        <x:v>14.656</x:v>
      </x:c>
      <x:c r="G22" s="26" t="n">
        <x:v>1.2238250102</x:v>
      </x:c>
      <x:c r="H22" s="26" t="n">
        <x:v>1.43353</x:v>
      </x:c>
      <x:c r="I22" s="26" t="n">
        <x:v>90786.8946661802</x:v>
      </x:c>
      <x:c r="J22" s="26" t="n">
        <x:v>150.6054840088</x:v>
      </x:c>
      <x:c r="K22" s="26" t="n">
        <x:v>78.49426371</x:v>
      </x:c>
      <x:c r="L22" s="27" t="n">
        <x:v>10570130</x:v>
      </x:c>
      <x:c r="M22" s="26" t="n">
        <x:v>88.012665449</x:v>
      </x:c>
      <x:c r="N22" s="28" t="n">
        <x:v>16018</x:v>
      </x:c>
      <x:c r="O22" s="26" t="n">
        <x:v>20.1</x:v>
      </x:c>
      <x:c r="P22" s="29" t="n">
        <x:v>32586.977</x:v>
      </x:c>
      <x:c r="Q22" s="28" t="n">
        <x:v>16252.78</x:v>
      </x:c>
    </x:row>
    <x:row r="23">
      <x:c r="A23" s="25" t="str">
        <x:v>EL</x:v>
      </x:c>
      <x:c r="B23" s="25" t="str">
        <x:v>Greece</x:v>
      </x:c>
      <x:c r="C23" s="25" t="n">
        <x:v>2022</x:v>
      </x:c>
      <x:c r="D23" s="26" t="n">
        <x:v>35828.1756641776</x:v>
      </x:c>
      <x:c r="E23" s="26" t="n">
        <x:v>5.5219858059</x:v>
      </x:c>
      <x:c r="F23" s="26" t="n">
        <x:v>12.426</x:v>
      </x:c>
      <x:c r="G23" s="26" t="n">
        <x:v>9.6452598128</x:v>
      </x:c>
      <x:c r="H23" s="26" t="n">
        <x:v>1.47714</x:v>
      </x:c>
      <x:c r="I23" s="26" t="n">
        <x:v>91630.2040096918</x:v>
      </x:c>
      <x:c r="J23" s="26" t="n">
        <x:v>166.3895568848</x:v>
      </x:c>
      <x:c r="K23" s="26" t="n">
        <x:v>83.17066333</x:v>
      </x:c>
      <x:c r="L23" s="27" t="n">
        <x:v>10437805</x:v>
      </x:c>
      <x:c r="M23" s="26" t="n">
        <x:v>108.1218432299</x:v>
      </x:c>
      <x:c r="N23" s="28" t="n">
        <x:v>16515</x:v>
      </x:c>
      <x:c r="O23" s="26" t="n">
        <x:v>21.3</x:v>
      </x:c>
      <x:c r="P23" s="29" t="n">
        <x:v>31422.875</x:v>
      </x:c>
      <x:c r="Q23" s="28" t="n">
        <x:v>16677.39</x:v>
      </x:c>
    </x:row>
    <x:row r="24">
      <x:c r="A24" s="25" t="str">
        <x:v>EL</x:v>
      </x:c>
      <x:c r="B24" s="25" t="str">
        <x:v>Greece</x:v>
      </x:c>
      <x:c r="C24" s="25" t="n">
        <x:v>2023</x:v>
      </x:c>
      <x:c r="D24" s="26" t="n">
        <x:v>36700.5134631055</x:v>
      </x:c>
      <x:c r="E24" s="26" t="n">
        <x:v>2.13591132</x:v>
      </x:c>
      <x:c r="F24" s="26" t="n">
        <x:v>11.023</x:v>
      </x:c>
      <x:c r="G24" s="26" t="n">
        <x:v>3.4648012851</x:v>
      </x:c>
      <x:c r="H24" s="26" t="n">
        <x:v>1.4943</x:v>
      </x:c>
      <x:c r="I24" s="26" t="n">
        <x:v>92145.8897479429</x:v>
      </x:c>
      <x:c r="J24" s="26" t="n">
        <x:v>165.1134185791</x:v>
      </x:c>
      <x:c r="K24" s="26" t="n">
        <x:v>85.0102229</x:v>
      </x:c>
      <x:c r="L24" s="27" t="n">
        <x:v>10407351</x:v>
      </x:c>
      <x:c r="M24" s="26" t="n">
        <x:v>92.4710882947</x:v>
      </x:c>
      <x:c r="N24" s="28" t="n">
        <x:v>17070</x:v>
      </x:c>
      <x:c r="O24" s="26" t="n">
        <x:v>23.1</x:v>
      </x:c>
      <x:c r="P24" s="29" t="n">
        <x:v>31432.149</x:v>
      </x:c>
      <x:c r="Q24" s="28" t="n">
        <x:v>17258.82</x:v>
      </x:c>
    </x:row>
    <x:row r="25">
      <x:c r="A25" s="25" t="str">
        <x:v>EL</x:v>
      </x:c>
      <x:c r="B25" s="25" t="str">
        <x:v>Greece</x:v>
      </x:c>
      <x:c r="C25" s="25" t="n">
        <x:v>2024</x:v>
      </x:c>
      <x:c r="D25" s="26" t="n">
        <x:v>37474.2798239947</x:v>
      </x:c>
      <x:c r="E25" s="26" t="n">
        <x:v>2.0865743381</x:v>
      </x:c>
      <x:c r="F25" s="26" t="n">
        <x:v>10.02</x:v>
      </x:c>
      <x:c r="G25" s="26" t="n">
        <x:v>2.7410187568</x:v>
      </x:c>
      <x:c r="H25" s="26"/>
      <x:c r="I25" s="26" t="n">
        <x:v>91704.636120514</x:v>
      </x:c>
      <x:c r="J25" s="26"/>
      <x:c r="K25" s="26" t="n">
        <x:v>86.26968886</x:v>
      </x:c>
      <x:c r="L25" s="27" t="n">
        <x:v>10405134</x:v>
      </x:c>
      <x:c r="M25" s="26" t="n">
        <x:v>89.7765279446</x:v>
      </x:c>
      <x:c r="N25" s="28" t="n">
        <x:v>17954</x:v>
      </x:c>
      <x:c r="O25" s="26" t="n">
        <x:v>21.9</x:v>
      </x:c>
      <x:c r="P25" s="29" t="n">
        <x:v>32502.756</x:v>
      </x:c>
      <x:c r="Q25" s="28" t="n">
        <x:v>18225.537</x:v>
      </x:c>
    </x:row>
    <x:row r="26">
      <x:c r="A26" s="25" t="str">
        <x:v>ES</x:v>
      </x:c>
      <x:c r="B26" s="25" t="str">
        <x:v>Spain</x:v>
      </x:c>
      <x:c r="C26" s="25" t="n">
        <x:v>2019</x:v>
      </x:c>
      <x:c r="D26" s="26" t="n">
        <x:v>46896.4171141424</x:v>
      </x:c>
      <x:c r="E26" s="26" t="n">
        <x:v>1.9611785084</x:v>
      </x:c>
      <x:c r="F26" s="26" t="n">
        <x:v>14.104</x:v>
      </x:c>
      <x:c r="G26" s="26" t="n">
        <x:v>0.6995189945</x:v>
      </x:c>
      <x:c r="H26" s="26" t="n">
        <x:v>1.24207</x:v>
      </x:c>
      <x:c r="I26" s="26" t="n">
        <x:v>110743.211960685</x:v>
      </x:c>
      <x:c r="J26" s="26" t="n">
        <x:v>91.538772583</x:v>
      </x:c>
      <x:c r="K26" s="26" t="n">
        <x:v>90.7186653253</x:v>
      </x:c>
      <x:c r="L26" s="27" t="n">
        <x:v>47118501</x:v>
      </x:c>
      <x:c r="M26" s="26" t="n">
        <x:v>66.3662250441</x:v>
      </x:c>
      <x:c r="N26" s="28" t="n">
        <x:v>28176</x:v>
      </x:c>
      <x:c r="O26" s="26" t="n">
        <x:v>20.9</x:v>
      </x:c>
      <x:c r="P26" s="29" t="n">
        <x:v>56009.134</x:v>
      </x:c>
      <x:c r="Q26" s="28" t="n">
        <x:v>28014.795</x:v>
      </x:c>
    </x:row>
    <x:row r="27">
      <x:c r="A27" s="25" t="str">
        <x:v>ES</x:v>
      </x:c>
      <x:c r="B27" s="25" t="str">
        <x:v>Spain</x:v>
      </x:c>
      <x:c r="C27" s="25" t="n">
        <x:v>2020</x:v>
      </x:c>
      <x:c r="D27" s="26" t="n">
        <x:v>41553.4477945675</x:v>
      </x:c>
      <x:c r="E27" s="26" t="n">
        <x:v>-10.940070635</x:v>
      </x:c>
      <x:c r="F27" s="26" t="n">
        <x:v>15.532</x:v>
      </x:c>
      <x:c r="G27" s="26" t="n">
        <x:v>-0.3227530173</x:v>
      </x:c>
      <x:c r="H27" s="26" t="n">
        <x:v>1.39637</x:v>
      </x:c>
      <x:c r="I27" s="26" t="n">
        <x:v>101656.794523899</x:v>
      </x:c>
      <x:c r="J27" s="26" t="n">
        <x:v>91.5991210938</x:v>
      </x:c>
      <x:c r="K27" s="26" t="n">
        <x:v>93.20564892</x:v>
      </x:c>
      <x:c r="L27" s="27" t="n">
        <x:v>47359424</x:v>
      </x:c>
      <x:c r="M27" s="26" t="n">
        <x:v>59.4461280147</x:v>
      </x:c>
      <x:c r="N27" s="28" t="n">
        <x:v>27844</x:v>
      </x:c>
      <x:c r="O27" s="26" t="n">
        <x:v>20.9</x:v>
      </x:c>
      <x:c r="P27" s="29" t="n">
        <x:v>55379.905</x:v>
      </x:c>
      <x:c r="Q27" s="28" t="n">
        <x:v>27722.642</x:v>
      </x:c>
    </x:row>
    <x:row r="28">
      <x:c r="A28" s="25" t="str">
        <x:v>ES</x:v>
      </x:c>
      <x:c r="B28" s="25" t="str">
        <x:v>Spain</x:v>
      </x:c>
      <x:c r="C28" s="25" t="n">
        <x:v>2021</x:v>
      </x:c>
      <x:c r="D28" s="26" t="n">
        <x:v>44251.6658222621</x:v>
      </x:c>
      <x:c r="E28" s="26" t="n">
        <x:v>6.6831442047</x:v>
      </x:c>
      <x:c r="F28" s="26" t="n">
        <x:v>14.914</x:v>
      </x:c>
      <x:c r="G28" s="26" t="n">
        <x:v>3.0931351198</x:v>
      </x:c>
      <x:c r="H28" s="26" t="n">
        <x:v>1.39617</x:v>
      </x:c>
      <x:c r="I28" s="26" t="n">
        <x:v>105480.455434457</x:v>
      </x:c>
      <x:c r="J28" s="26" t="n">
        <x:v>95.3768997192</x:v>
      </x:c>
      <x:c r="K28" s="26" t="n">
        <x:v>93.89752157</x:v>
      </x:c>
      <x:c r="L28" s="27" t="n">
        <x:v>47443821</x:v>
      </x:c>
      <x:c r="M28" s="26" t="n">
        <x:v>66.5245889432</x:v>
      </x:c>
      <x:c r="N28" s="28" t="n">
        <x:v>29383</x:v>
      </x:c>
      <x:c r="O28" s="26" t="n">
        <x:v>23.4</x:v>
      </x:c>
      <x:c r="P28" s="29" t="n">
        <x:v>57624.703</x:v>
      </x:c>
      <x:c r="Q28" s="28" t="n">
        <x:v>29480.344</x:v>
      </x:c>
    </x:row>
    <x:row r="29">
      <x:c r="A29" s="25" t="str">
        <x:v>ES</x:v>
      </x:c>
      <x:c r="B29" s="25" t="str">
        <x:v>Spain</x:v>
      </x:c>
      <x:c r="C29" s="25" t="n">
        <x:v>2022</x:v>
      </x:c>
      <x:c r="D29" s="26" t="n">
        <x:v>46733.4809780536</x:v>
      </x:c>
      <x:c r="E29" s="26" t="n">
        <x:v>6.3703171213</x:v>
      </x:c>
      <x:c r="F29" s="26" t="n">
        <x:v>13.033</x:v>
      </x:c>
      <x:c r="G29" s="26" t="n">
        <x:v>8.3905763412</x:v>
      </x:c>
      <x:c r="H29" s="26" t="n">
        <x:v>1.40684</x:v>
      </x:c>
      <x:c r="I29" s="26" t="n">
        <x:v>108027.315744828</x:v>
      </x:c>
      <x:c r="J29" s="26" t="n">
        <x:v>95.0271606445</x:v>
      </x:c>
      <x:c r="K29" s="26" t="n">
        <x:v>94.4855432</x:v>
      </x:c>
      <x:c r="L29" s="27" t="n">
        <x:v>47786102</x:v>
      </x:c>
      <x:c r="M29" s="26" t="n">
        <x:v>78.4657338703</x:v>
      </x:c>
      <x:c r="N29" s="28" t="n">
        <x:v>30806</x:v>
      </x:c>
      <x:c r="O29" s="26" t="n">
        <x:v>23.1</x:v>
      </x:c>
      <x:c r="P29" s="29" t="n">
        <x:v>56683.114</x:v>
      </x:c>
      <x:c r="Q29" s="28" t="n">
        <x:v>30919.398</x:v>
      </x:c>
    </x:row>
    <x:row r="30">
      <x:c r="A30" s="25" t="str">
        <x:v>ES</x:v>
      </x:c>
      <x:c r="B30" s="25" t="str">
        <x:v>Spain</x:v>
      </x:c>
      <x:c r="C30" s="25" t="n">
        <x:v>2023</x:v>
      </x:c>
      <x:c r="D30" s="26" t="n">
        <x:v>47322.5937004504</x:v>
      </x:c>
      <x:c r="E30" s="26" t="n">
        <x:v>2.4608579681</x:v>
      </x:c>
      <x:c r="F30" s="26" t="n">
        <x:v>12.179</x:v>
      </x:c>
      <x:c r="G30" s="26" t="n">
        <x:v>3.5323613349</x:v>
      </x:c>
      <x:c r="H30" s="26" t="n">
        <x:v>1.49362</x:v>
      </x:c>
      <x:c r="I30" s="26" t="n">
        <x:v>107873.575596821</x:v>
      </x:c>
      <x:c r="J30" s="26" t="n">
        <x:v>93.7303466797</x:v>
      </x:c>
      <x:c r="K30" s="26" t="n">
        <x:v>95.44564516</x:v>
      </x:c>
      <x:c r="L30" s="27" t="n">
        <x:v>48352528</x:v>
      </x:c>
      <x:c r="M30" s="26" t="n">
        <x:v>71.7976366056</x:v>
      </x:c>
      <x:c r="N30" s="28" t="n">
        <x:v>32216</x:v>
      </x:c>
      <x:c r="O30" s="26" t="n">
        <x:v>23.5</x:v>
      </x:c>
      <x:c r="P30" s="29" t="n">
        <x:v>56285.834</x:v>
      </x:c>
      <x:c r="Q30" s="28" t="n">
        <x:v>32276.052</x:v>
      </x:c>
    </x:row>
    <x:row r="31">
      <x:c r="A31" s="25" t="str">
        <x:v>ES</x:v>
      </x:c>
      <x:c r="B31" s="25" t="str">
        <x:v>Spain</x:v>
      </x:c>
      <x:c r="C31" s="25" t="n">
        <x:v>2024</x:v>
      </x:c>
      <x:c r="D31" s="26" t="n">
        <x:v>48460.2914069661</x:v>
      </x:c>
      <x:c r="E31" s="26" t="n">
        <x:v>3.4552540563</x:v>
      </x:c>
      <x:c r="F31" s="26" t="n">
        <x:v>11.4</x:v>
      </x:c>
      <x:c r="G31" s="26" t="n">
        <x:v>2.7471478866</x:v>
      </x:c>
      <x:c r="H31" s="26"/>
      <x:c r="I31" s="26" t="n">
        <x:v>108590.270486656</x:v>
      </x:c>
      <x:c r="J31" s="26" t="n">
        <x:v>93.7689666748</x:v>
      </x:c>
      <x:c r="K31" s="26" t="n">
        <x:v>95.7574516</x:v>
      </x:c>
      <x:c r="L31" s="27" t="n">
        <x:v>48848840</x:v>
      </x:c>
      <x:c r="M31" s="26" t="n">
        <x:v>69.9502612383</x:v>
      </x:c>
      <x:c r="N31" s="28" t="n">
        <x:v>33700</x:v>
      </x:c>
      <x:c r="O31" s="26" t="n">
        <x:v>24.8</x:v>
      </x:c>
      <x:c r="P31" s="29" t="n">
        <x:v>57082.887</x:v>
      </x:c>
      <x:c r="Q31" s="28" t="n">
        <x:v>33767.131</x:v>
      </x:c>
    </x:row>
    <x:row r="32">
      <x:c r="A32" s="25" t="str">
        <x:v>FR</x:v>
      </x:c>
      <x:c r="B32" s="25" t="str">
        <x:v>France</x:v>
      </x:c>
      <x:c r="C32" s="25" t="n">
        <x:v>2019</x:v>
      </x:c>
      <x:c r="D32" s="26" t="n">
        <x:v>53448.5548849943</x:v>
      </x:c>
      <x:c r="E32" s="26" t="n">
        <x:v>2.0274464642</x:v>
      </x:c>
      <x:c r="F32" s="26" t="n">
        <x:v>8.415</x:v>
      </x:c>
      <x:c r="G32" s="26" t="n">
        <x:v>1.1082549229</x:v>
      </x:c>
      <x:c r="H32" s="26" t="n">
        <x:v>2.19668</x:v>
      </x:c>
      <x:c r="I32" s="26" t="n">
        <x:v>128928.445413505</x:v>
      </x:c>
      <x:c r="J32" s="26" t="n">
        <x:v>67.7331314087</x:v>
      </x:c>
      <x:c r="K32" s="26" t="n">
        <x:v>83.3397440867</x:v>
      </x:c>
      <x:c r="L32" s="27" t="n">
        <x:v>67382061</x:v>
      </x:c>
      <x:c r="M32" s="26" t="n">
        <x:v>66.4289607282</x:v>
      </x:c>
      <x:c r="N32" s="28" t="n">
        <x:v>38305</x:v>
      </x:c>
      <x:c r="O32" s="26" t="n">
        <x:v>27.3</x:v>
      </x:c>
      <x:c r="P32" s="29" t="n">
        <x:v>61289.217</x:v>
      </x:c>
      <x:c r="Q32" s="28" t="n">
        <x:v>38078.279</x:v>
      </x:c>
    </x:row>
    <x:row r="33">
      <x:c r="A33" s="25" t="str">
        <x:v>FR</x:v>
      </x:c>
      <x:c r="B33" s="25" t="str">
        <x:v>France</x:v>
      </x:c>
      <x:c r="C33" s="25" t="n">
        <x:v>2020</x:v>
      </x:c>
      <x:c r="D33" s="26" t="n">
        <x:v>49311.333409639</x:v>
      </x:c>
      <x:c r="E33" s="26" t="n">
        <x:v>-7.4406458995</x:v>
      </x:c>
      <x:c r="F33" s="26" t="n">
        <x:v>8.009</x:v>
      </x:c>
      <x:c r="G33" s="26" t="n">
        <x:v>0.4764988527</x:v>
      </x:c>
      <x:c r="H33" s="26" t="n">
        <x:v>2.2742</x:v>
      </x:c>
      <x:c r="I33" s="26" t="n">
        <x:v>119633.985563165</x:v>
      </x:c>
      <x:c r="J33" s="26" t="n">
        <x:v>68.8709411621</x:v>
      </x:c>
      <x:c r="K33" s="26" t="n">
        <x:v>84.70639801</x:v>
      </x:c>
      <x:c r="L33" s="27" t="n">
        <x:v>67601110</x:v>
      </x:c>
      <x:c r="M33" s="26" t="n">
        <x:v>58.8388907241</x:v>
      </x:c>
      <x:c r="N33" s="28" t="n">
        <x:v>36799</x:v>
      </x:c>
      <x:c r="O33" s="26" t="n">
        <x:v>29</x:v>
      </x:c>
      <x:c r="P33" s="29" t="n">
        <x:v>58327.286</x:v>
      </x:c>
      <x:c r="Q33" s="28" t="n">
        <x:v>36562.871</x:v>
      </x:c>
    </x:row>
    <x:row r="34">
      <x:c r="A34" s="25" t="str">
        <x:v>FR</x:v>
      </x:c>
      <x:c r="B34" s="25" t="str">
        <x:v>France</x:v>
      </x:c>
      <x:c r="C34" s="25" t="n">
        <x:v>2021</x:v>
      </x:c>
      <x:c r="D34" s="26" t="n">
        <x:v>52517.3354905855</x:v>
      </x:c>
      <x:c r="E34" s="26" t="n">
        <x:v>6.8823378336</x:v>
      </x:c>
      <x:c r="F34" s="26" t="n">
        <x:v>7.871</x:v>
      </x:c>
      <x:c r="G34" s="26" t="n">
        <x:v>1.6423314104</x:v>
      </x:c>
      <x:c r="H34" s="26" t="n">
        <x:v>2.21278</x:v>
      </x:c>
      <x:c r="I34" s="26" t="n">
        <x:v>123998.870932207</x:v>
      </x:c>
      <x:c r="J34" s="26" t="n">
        <x:v>69.9397888184</x:v>
      </x:c>
      <x:c r="K34" s="26" t="n">
        <x:v>86.09548575</x:v>
      </x:c>
      <x:c r="L34" s="27" t="n">
        <x:v>67842811</x:v>
      </x:c>
      <x:c r="M34" s="26" t="n">
        <x:v>63.7884826309</x:v>
      </x:c>
      <x:c r="N34" s="28" t="n">
        <x:v>38861</x:v>
      </x:c>
      <x:c r="O34" s="26" t="n">
        <x:v>29.6</x:v>
      </x:c>
      <x:c r="P34" s="29" t="n">
        <x:v>60851.672</x:v>
      </x:c>
      <x:c r="Q34" s="28" t="n">
        <x:v>38660.988</x:v>
      </x:c>
    </x:row>
    <x:row r="35">
      <x:c r="A35" s="25" t="str">
        <x:v>FR</x:v>
      </x:c>
      <x:c r="B35" s="25" t="str">
        <x:v>France</x:v>
      </x:c>
      <x:c r="C35" s="25" t="n">
        <x:v>2022</x:v>
      </x:c>
      <x:c r="D35" s="26" t="n">
        <x:v>53673.8137406422</x:v>
      </x:c>
      <x:c r="E35" s="26" t="n">
        <x:v>2.7167626419</x:v>
      </x:c>
      <x:c r="F35" s="26" t="n">
        <x:v>7.303</x:v>
      </x:c>
      <x:c r="G35" s="26" t="n">
        <x:v>5.2223674837</x:v>
      </x:c>
      <x:c r="H35" s="26" t="n">
        <x:v>2.21937</x:v>
      </x:c>
      <x:c r="I35" s="26" t="n">
        <x:v>124988.856698658</x:v>
      </x:c>
      <x:c r="J35" s="26" t="n">
        <x:v>71.5107269287</x:v>
      </x:c>
      <x:c r="K35" s="26" t="n">
        <x:v>85.33331734</x:v>
      </x:c>
      <x:c r="L35" s="27" t="n">
        <x:v>68184457</x:v>
      </x:c>
      <x:c r="M35" s="26" t="n">
        <x:v>75.9630077982</x:v>
      </x:c>
      <x:c r="N35" s="28" t="n">
        <x:v>40910</x:v>
      </x:c>
      <x:c r="O35" s="26" t="n">
        <x:v>29.9</x:v>
      </x:c>
      <x:c r="P35" s="29" t="n">
        <x:v>61044.379</x:v>
      </x:c>
      <x:c r="Q35" s="28" t="n">
        <x:v>40661.433</x:v>
      </x:c>
    </x:row>
    <x:row r="36">
      <x:c r="A36" s="25" t="str">
        <x:v>FR</x:v>
      </x:c>
      <x:c r="B36" s="25" t="str">
        <x:v>France</x:v>
      </x:c>
      <x:c r="C36" s="25" t="n">
        <x:v>2023</x:v>
      </x:c>
      <x:c r="D36" s="26" t="n">
        <x:v>54296.7230897731</x:v>
      </x:c>
      <x:c r="E36" s="26" t="n">
        <x:v>1.4392149444</x:v>
      </x:c>
      <x:c r="F36" s="26" t="n">
        <x:v>7.335</x:v>
      </x:c>
      <x:c r="G36" s="26" t="n">
        <x:v>4.8783572651</x:v>
      </x:c>
      <x:c r="H36" s="26" t="n">
        <x:v>2.17832</x:v>
      </x:c>
      <x:c r="I36" s="26" t="n">
        <x:v>125877.393888068</x:v>
      </x:c>
      <x:c r="J36" s="26" t="n">
        <x:v>70.4536437988</x:v>
      </x:c>
      <x:c r="K36" s="26" t="n">
        <x:v>86.83635789</x:v>
      </x:c>
      <x:c r="L36" s="27" t="n">
        <x:v>68372286</x:v>
      </x:c>
      <x:c r="M36" s="26" t="n">
        <x:v>70.626145061</x:v>
      </x:c>
      <x:c r="N36" s="28" t="n">
        <x:v>42771</x:v>
      </x:c>
      <x:c r="O36" s="26" t="n">
        <x:v>27.6</x:v>
      </x:c>
      <x:c r="P36" s="29" t="n">
        <x:v>59611.013</x:v>
      </x:c>
      <x:c r="Q36" s="28" t="n">
        <x:v>42447.323</x:v>
      </x:c>
    </x:row>
    <x:row r="37">
      <x:c r="A37" s="25" t="str">
        <x:v>FR</x:v>
      </x:c>
      <x:c r="B37" s="25" t="str">
        <x:v>France</x:v>
      </x:c>
      <x:c r="C37" s="25" t="n">
        <x:v>2024</x:v>
      </x:c>
      <x:c r="D37" s="26" t="n">
        <x:v>54799.3482689389</x:v>
      </x:c>
      <x:c r="E37" s="26" t="n">
        <x:v>1.1904679828</x:v>
      </x:c>
      <x:c r="F37" s="26" t="n">
        <x:v>7.4</x:v>
      </x:c>
      <x:c r="G37" s="26" t="n">
        <x:v>1.9990494229</x:v>
      </x:c>
      <x:c r="H37" s="26"/>
      <x:c r="I37" s="26" t="n">
        <x:v>127331.963264779</x:v>
      </x:c>
      <x:c r="J37" s="26" t="n">
        <x:v>71.5346908569</x:v>
      </x:c>
      <x:c r="K37" s="26" t="n">
        <x:v>88.65381638</x:v>
      </x:c>
      <x:c r="L37" s="27" t="n">
        <x:v>68551653</x:v>
      </x:c>
      <x:c r="M37" s="26" t="n">
        <x:v>68.1081875444</x:v>
      </x:c>
      <x:c r="N37" s="28" t="n">
        <x:v>43790</x:v>
      </x:c>
      <x:c r="O37" s="26" t="n">
        <x:v>28</x:v>
      </x:c>
      <x:c r="P37" s="29" t="n">
        <x:v>59864.791</x:v>
      </x:c>
      <x:c r="Q37" s="28" t="n">
        <x:v>43559.379</x:v>
      </x:c>
    </x:row>
    <x:row r="38">
      <x:c r="A38" s="25" t="str">
        <x:v>NL</x:v>
      </x:c>
      <x:c r="B38" s="25" t="str">
        <x:v>Netherlands</x:v>
      </x:c>
      <x:c r="C38" s="25" t="n">
        <x:v>2019</x:v>
      </x:c>
      <x:c r="D38" s="26" t="n">
        <x:v>67847.8818461095</x:v>
      </x:c>
      <x:c r="E38" s="26" t="n">
        <x:v>2.3001616054</x:v>
      </x:c>
      <x:c r="F38" s="26" t="n">
        <x:v>3.379</x:v>
      </x:c>
      <x:c r="G38" s="26" t="n">
        <x:v>2.6336991025</x:v>
      </x:c>
      <x:c r="H38" s="26" t="n">
        <x:v>2.14036</x:v>
      </x:c>
      <x:c r="I38" s="26" t="n">
        <x:v>125011.34913652</x:v>
      </x:c>
      <x:c r="J38" s="26"/>
      <x:c r="K38" s="26" t="n">
        <x:v>93.288590604</x:v>
      </x:c>
      <x:c r="L38" s="27" t="n">
        <x:v>17344874</x:v>
      </x:c>
      <x:c r="M38" s="26" t="n">
        <x:v>160.676671885</x:v>
      </x:c>
      <x:c r="N38" s="28"/>
      <x:c r="O38" s="26" t="n">
        <x:v>13.6</x:v>
      </x:c>
      <x:c r="P38" s="29" t="n">
        <x:v>80831.238</x:v>
      </x:c>
      <x:c r="Q38" s="28" t="n">
        <x:v>48188.086</x:v>
      </x:c>
    </x:row>
    <x:row r="39">
      <x:c r="A39" s="25" t="str">
        <x:v>NL</x:v>
      </x:c>
      <x:c r="B39" s="25" t="str">
        <x:v>Netherlands</x:v>
      </x:c>
      <x:c r="C39" s="25" t="n">
        <x:v>2020</x:v>
      </x:c>
      <x:c r="D39" s="26" t="n">
        <x:v>64862.1890353474</x:v>
      </x:c>
      <x:c r="E39" s="26" t="n">
        <x:v>-3.8679971419</x:v>
      </x:c>
      <x:c r="F39" s="26" t="n">
        <x:v>3.82</x:v>
      </x:c>
      <x:c r="G39" s="26" t="n">
        <x:v>1.2724603779</x:v>
      </x:c>
      <x:c r="H39" s="26" t="n">
        <x:v>2.26514</x:v>
      </x:c>
      <x:c r="I39" s="26" t="n">
        <x:v>120103.675317655</x:v>
      </x:c>
      <x:c r="J39" s="26" t="n">
        <x:v>85.3370819092</x:v>
      </x:c>
      <x:c r="K39" s="26" t="n">
        <x:v>91.33333333</x:v>
      </x:c>
      <x:c r="L39" s="27" t="n">
        <x:v>17441500</x:v>
      </x:c>
      <x:c r="M39" s="26" t="n">
        <x:v>152.2332304097</x:v>
      </x:c>
      <x:c r="N39" s="28"/>
      <x:c r="O39" s="26" t="n">
        <x:v>13.8</x:v>
      </x:c>
      <x:c r="P39" s="29" t="n">
        <x:v>81771.956</x:v>
      </x:c>
      <x:c r="Q39" s="28" t="n">
        <x:v>49749.696</x:v>
      </x:c>
    </x:row>
    <x:row r="40">
      <x:c r="A40" s="25" t="str">
        <x:v>NL</x:v>
      </x:c>
      <x:c r="B40" s="25" t="str">
        <x:v>Netherlands</x:v>
      </x:c>
      <x:c r="C40" s="25" t="n">
        <x:v>2021</x:v>
      </x:c>
      <x:c r="D40" s="26" t="n">
        <x:v>68573.5648786447</x:v>
      </x:c>
      <x:c r="E40" s="26" t="n">
        <x:v>6.2768359375</x:v>
      </x:c>
      <x:c r="F40" s="26" t="n">
        <x:v>4.209</x:v>
      </x:c>
      <x:c r="G40" s="26" t="n">
        <x:v>2.6757200881</x:v>
      </x:c>
      <x:c r="H40" s="26" t="n">
        <x:v>2.21542</x:v>
      </x:c>
      <x:c r="I40" s="26" t="n">
        <x:v>127311.810597457</x:v>
      </x:c>
      <x:c r="J40" s="26" t="n">
        <x:v>89.3898620605</x:v>
      </x:c>
      <x:c r="K40" s="26" t="n">
        <x:v>92.05298013</x:v>
      </x:c>
      <x:c r="L40" s="27" t="n">
        <x:v>17533044</x:v>
      </x:c>
      <x:c r="M40" s="26" t="n">
        <x:v>163.1548426897</x:v>
      </x:c>
      <x:c r="N40" s="28"/>
      <x:c r="O40" s="26" t="n">
        <x:v>15.5</x:v>
      </x:c>
      <x:c r="P40" s="29" t="n">
        <x:v>80400.832</x:v>
      </x:c>
      <x:c r="Q40" s="28" t="n">
        <x:v>51041.861</x:v>
      </x:c>
    </x:row>
    <x:row r="41">
      <x:c r="A41" s="25" t="str">
        <x:v>NL</x:v>
      </x:c>
      <x:c r="B41" s="25" t="str">
        <x:v>Netherlands</x:v>
      </x:c>
      <x:c r="C41" s="25" t="n">
        <x:v>2022</x:v>
      </x:c>
      <x:c r="D41" s="26" t="n">
        <x:v>71324.0360229425</x:v>
      </x:c>
      <x:c r="E41" s="26" t="n">
        <x:v>5.007234534</x:v>
      </x:c>
      <x:c r="F41" s="26" t="n">
        <x:v>3.526</x:v>
      </x:c>
      <x:c r="G41" s="26" t="n">
        <x:v>10.0012078753</x:v>
      </x:c>
      <x:c r="H41" s="26" t="n">
        <x:v>2.17529</x:v>
      </x:c>
      <x:c r="I41" s="26" t="n">
        <x:v>129912.374901044</x:v>
      </x:c>
      <x:c r="J41" s="26"/>
      <x:c r="K41" s="26" t="n">
        <x:v>92.51968504</x:v>
      </x:c>
      <x:c r="L41" s="27" t="n">
        <x:v>17700982</x:v>
      </x:c>
      <x:c r="M41" s="26" t="n">
        <x:v>184.1074842527</x:v>
      </x:c>
      <x:c r="N41" s="28"/>
      <x:c r="O41" s="26" t="n">
        <x:v>15.4</x:v>
      </x:c>
      <x:c r="P41" s="29" t="n">
        <x:v>76314.649</x:v>
      </x:c>
      <x:c r="Q41" s="28" t="n">
        <x:v>52103.929</x:v>
      </x:c>
    </x:row>
    <x:row r="42">
      <x:c r="A42" s="25" t="str">
        <x:v>NL</x:v>
      </x:c>
      <x:c r="B42" s="25" t="str">
        <x:v>Netherlands</x:v>
      </x:c>
      <x:c r="C42" s="25" t="n">
        <x:v>2023</x:v>
      </x:c>
      <x:c r="D42" s="26" t="n">
        <x:v>70198.9546022361</x:v>
      </x:c>
      <x:c r="E42" s="26" t="n">
        <x:v>-0.5980610176</x:v>
      </x:c>
      <x:c r="F42" s="26" t="n">
        <x:v>3.535</x:v>
      </x:c>
      <x:c r="G42" s="26" t="n">
        <x:v>3.8383935434</x:v>
      </x:c>
      <x:c r="H42" s="26" t="n">
        <x:v>2.26719</x:v>
      </x:c>
      <x:c r="I42" s="26" t="n">
        <x:v>126676.190572032</x:v>
      </x:c>
      <x:c r="J42" s="26" t="n">
        <x:v>86.5938262939</x:v>
      </x:c>
      <x:c r="K42" s="26" t="n">
        <x:v>97.00680272</x:v>
      </x:c>
      <x:c r="L42" s="27" t="n">
        <x:v>17877117</x:v>
      </x:c>
      <x:c r="M42" s="26" t="n">
        <x:v>165.0304294789</x:v>
      </x:c>
      <x:c r="N42" s="28"/>
      <x:c r="O42" s="26" t="n">
        <x:v>16.1</x:v>
      </x:c>
      <x:c r="P42" s="29" t="n">
        <x:v>76028.493</x:v>
      </x:c>
      <x:c r="Q42" s="28" t="n">
        <x:v>55494.716</x:v>
      </x:c>
    </x:row>
    <x:row r="43">
      <x:c r="A43" s="25" t="str">
        <x:v>NL</x:v>
      </x:c>
      <x:c r="B43" s="25" t="str">
        <x:v>Netherlands</x:v>
      </x:c>
      <x:c r="C43" s="25" t="n">
        <x:v>2024</x:v>
      </x:c>
      <x:c r="D43" s="26" t="n">
        <x:v>70493.9051219267</x:v>
      </x:c>
      <x:c r="E43" s="26" t="n">
        <x:v>1.0738313732</x:v>
      </x:c>
      <x:c r="F43" s="26" t="n">
        <x:v>3.7</x:v>
      </x:c>
      <x:c r="G43" s="26" t="n">
        <x:v>3.3475430422</x:v>
      </x:c>
      <x:c r="H43" s="26"/>
      <x:c r="I43" s="26" t="n">
        <x:v>127696.073905145</x:v>
      </x:c>
      <x:c r="J43" s="26"/>
      <x:c r="K43" s="26" t="n">
        <x:v>97.00679779</x:v>
      </x:c>
      <x:c r="L43" s="27" t="n">
        <x:v>17993485</x:v>
      </x:c>
      <x:c r="M43" s="26" t="n">
        <x:v>153.9562905747</x:v>
      </x:c>
      <x:c r="N43" s="28"/>
      <x:c r="O43" s="26" t="n">
        <x:v>17.1</x:v>
      </x:c>
      <x:c r="P43" s="29" t="n">
        <x:v>78682.989</x:v>
      </x:c>
      <x:c r="Q43" s="28" t="n">
        <x:v>58922.444</x:v>
      </x:c>
    </x:row>
    <x:row r="44">
      <x:c r="A44" s="25" t="str">
        <x:v>SE</x:v>
      </x:c>
      <x:c r="B44" s="25" t="str">
        <x:v>Sweden</x:v>
      </x:c>
      <x:c r="C44" s="25" t="n">
        <x:v>2019</x:v>
      </x:c>
      <x:c r="D44" s="26" t="n">
        <x:v>61070.5243445838</x:v>
      </x:c>
      <x:c r="E44" s="26" t="n">
        <x:v>2.6082301287</x:v>
      </x:c>
      <x:c r="F44" s="26" t="n">
        <x:v>6.833</x:v>
      </x:c>
      <x:c r="G44" s="26" t="n">
        <x:v>1.784150974</x:v>
      </x:c>
      <x:c r="H44" s="26" t="n">
        <x:v>3.39847</x:v>
      </x:c>
      <x:c r="I44" s="26" t="n">
        <x:v>123440.205383722</x:v>
      </x:c>
      <x:c r="J44" s="26" t="n">
        <x:v>75.1148529053</x:v>
      </x:c>
      <x:c r="K44" s="26" t="n">
        <x:v>94.4934434072</x:v>
      </x:c>
      <x:c r="L44" s="27" t="n">
        <x:v>10278887</x:v>
      </x:c>
      <x:c r="M44" s="26" t="n">
        <x:v>92.7511390291</x:v>
      </x:c>
      <x:c r="N44" s="28" t="n">
        <x:v>43073</x:v>
      </x:c>
      <x:c r="O44" s="26" t="n">
        <x:v>15.8</x:v>
      </x:c>
      <x:c r="P44" s="29" t="n">
        <x:v>61692.938</x:v>
      </x:c>
      <x:c r="Q44" s="28"/>
    </x:row>
    <x:row r="45">
      <x:c r="A45" s="25" t="str">
        <x:v>SE</x:v>
      </x:c>
      <x:c r="B45" s="25" t="str">
        <x:v>Sweden</x:v>
      </x:c>
      <x:c r="C45" s="25" t="n">
        <x:v>2020</x:v>
      </x:c>
      <x:c r="D45" s="26" t="n">
        <x:v>59458.2805291969</x:v>
      </x:c>
      <x:c r="E45" s="26" t="n">
        <x:v>-1.9337970403</x:v>
      </x:c>
      <x:c r="F45" s="26" t="n">
        <x:v>8.291</x:v>
      </x:c>
      <x:c r="G45" s="26" t="n">
        <x:v>0.4973673189</x:v>
      </x:c>
      <x:c r="H45" s="26" t="n">
        <x:v>3.50181</x:v>
      </x:c>
      <x:c r="I45" s="26" t="n">
        <x:v>122849.572984249</x:v>
      </x:c>
      <x:c r="J45" s="26" t="n">
        <x:v>79.1196365356</x:v>
      </x:c>
      <x:c r="K45" s="26" t="n">
        <x:v>94.53943122</x:v>
      </x:c>
      <x:c r="L45" s="27" t="n">
        <x:v>10353442</x:v>
      </x:c>
      <x:c r="M45" s="26" t="n">
        <x:v>84.4745958142</x:v>
      </x:c>
      <x:c r="N45" s="28" t="n">
        <x:v>44214</x:v>
      </x:c>
      <x:c r="O45" s="26" t="n">
        <x:v>17.2</x:v>
      </x:c>
      <x:c r="P45" s="29" t="n">
        <x:v>62495.441</x:v>
      </x:c>
      <x:c r="Q45" s="28"/>
    </x:row>
    <x:row r="46">
      <x:c r="A46" s="25" t="str">
        <x:v>SE</x:v>
      </x:c>
      <x:c r="B46" s="25" t="str">
        <x:v>Sweden</x:v>
      </x:c>
      <x:c r="C46" s="25" t="n">
        <x:v>2021</x:v>
      </x:c>
      <x:c r="D46" s="26" t="n">
        <x:v>62190.8526983825</x:v>
      </x:c>
      <x:c r="E46" s="26" t="n">
        <x:v>5.2258643029</x:v>
      </x:c>
      <x:c r="F46" s="26" t="n">
        <x:v>8.803</x:v>
      </x:c>
      <x:c r="G46" s="26" t="n">
        <x:v>2.1631973645</x:v>
      </x:c>
      <x:c r="H46" s="26" t="n">
        <x:v>3.41565</x:v>
      </x:c>
      <x:c r="I46" s="26" t="n">
        <x:v>129037.123728179</x:v>
      </x:c>
      <x:c r="J46" s="26" t="n">
        <x:v>85.9426193237</x:v>
      </x:c>
      <x:c r="K46" s="26" t="n">
        <x:v>94.6703163</x:v>
      </x:c>
      <x:c r="L46" s="27" t="n">
        <x:v>10415811</x:v>
      </x:c>
      <x:c r="M46" s="26" t="n">
        <x:v>91.1102374413</x:v>
      </x:c>
      <x:c r="N46" s="28" t="n">
        <x:v>47301</x:v>
      </x:c>
      <x:c r="O46" s="26" t="n">
        <x:v>19.2</x:v>
      </x:c>
      <x:c r="P46" s="29" t="n">
        <x:v>63922.77</x:v>
      </x:c>
      <x:c r="Q46" s="28"/>
    </x:row>
    <x:row r="47">
      <x:c r="A47" s="25" t="str">
        <x:v>SE</x:v>
      </x:c>
      <x:c r="B47" s="25" t="str">
        <x:v>Sweden</x:v>
      </x:c>
      <x:c r="C47" s="25" t="n">
        <x:v>2022</x:v>
      </x:c>
      <x:c r="D47" s="26" t="n">
        <x:v>62544.5002248644</x:v>
      </x:c>
      <x:c r="E47" s="26" t="n">
        <x:v>1.2554362045</x:v>
      </x:c>
      <x:c r="F47" s="26" t="n">
        <x:v>7.417</x:v>
      </x:c>
      <x:c r="G47" s="26" t="n">
        <x:v>8.3692909887</x:v>
      </x:c>
      <x:c r="H47" s="26" t="n">
        <x:v>3.47239</x:v>
      </x:c>
      <x:c r="I47" s="26" t="n">
        <x:v>126821.495586221</x:v>
      </x:c>
      <x:c r="J47" s="26" t="n">
        <x:v>83.8976135254</x:v>
      </x:c>
      <x:c r="K47" s="26" t="n">
        <x:v>95.00970335</x:v>
      </x:c>
      <x:c r="L47" s="27" t="n">
        <x:v>10486941</x:v>
      </x:c>
      <x:c r="M47" s="26" t="n">
        <x:v>107.1117518265</x:v>
      </x:c>
      <x:c r="N47" s="28" t="n">
        <x:v>46436</x:v>
      </x:c>
      <x:c r="O47" s="26" t="n">
        <x:v>20.7</x:v>
      </x:c>
      <x:c r="P47" s="29" t="n">
        <x:v>61819.296</x:v>
      </x:c>
      <x:c r="Q47" s="28"/>
    </x:row>
    <x:row r="48">
      <x:c r="A48" s="25" t="str">
        <x:v>SE</x:v>
      </x:c>
      <x:c r="B48" s="25" t="str">
        <x:v>Sweden</x:v>
      </x:c>
      <x:c r="C48" s="25" t="n">
        <x:v>2023</x:v>
      </x:c>
      <x:c r="D48" s="26" t="n">
        <x:v>62122.5116950792</x:v>
      </x:c>
      <x:c r="E48" s="26" t="n">
        <x:v>-0.2040613049</x:v>
      </x:c>
      <x:c r="F48" s="26" t="n">
        <x:v>7.611</x:v>
      </x:c>
      <x:c r="G48" s="26" t="n">
        <x:v>8.5486248975</x:v>
      </x:c>
      <x:c r="H48" s="26" t="n">
        <x:v>3.59978</x:v>
      </x:c>
      <x:c r="I48" s="26" t="n">
        <x:v>125143.49408177</x:v>
      </x:c>
      <x:c r="J48" s="26" t="n">
        <x:v>81.3998184204</x:v>
      </x:c>
      <x:c r="K48" s="26" t="n">
        <x:v>95.70327461</x:v>
      </x:c>
      <x:c r="L48" s="27" t="n">
        <x:v>10536632</x:v>
      </x:c>
      <x:c r="M48" s="26" t="n">
        <x:v>107.619709444</x:v>
      </x:c>
      <x:c r="N48" s="28" t="n">
        <x:v>44520</x:v>
      </x:c>
      <x:c r="O48" s="26" t="n">
        <x:v>20.5</x:v>
      </x:c>
      <x:c r="P48" s="29" t="n">
        <x:v>60122.215</x:v>
      </x:c>
      <x:c r="Q48" s="28"/>
    </x:row>
    <x:row r="49">
      <x:c r="A49" s="25" t="str">
        <x:v>SE</x:v>
      </x:c>
      <x:c r="B49" s="25" t="str">
        <x:v>Sweden</x:v>
      </x:c>
      <x:c r="C49" s="25" t="n">
        <x:v>2024</x:v>
      </x:c>
      <x:c r="D49" s="26" t="n">
        <x:v>62558.4065876041</x:v>
      </x:c>
      <x:c r="E49" s="26" t="n">
        <x:v>1.017796333</x:v>
      </x:c>
      <x:c r="F49" s="26" t="n">
        <x:v>8.4</x:v>
      </x:c>
      <x:c r="G49" s="26" t="n">
        <x:v>2.8358165822</x:v>
      </x:c>
      <x:c r="H49" s="26"/>
      <x:c r="I49" s="26" t="n">
        <x:v>127084.659688027</x:v>
      </x:c>
      <x:c r="J49" s="26" t="n">
        <x:v>83.9988098145</x:v>
      </x:c>
      <x:c r="K49" s="26" t="n">
        <x:v>95.52930428</x:v>
      </x:c>
      <x:c r="L49" s="27" t="n">
        <x:v>10569709</x:v>
      </x:c>
      <x:c r="M49" s="26" t="n">
        <x:v>105.9674923133</x:v>
      </x:c>
      <x:c r="N49" s="28" t="n">
        <x:v>46525</x:v>
      </x:c>
      <x:c r="O49" s="26" t="n">
        <x:v>22.8</x:v>
      </x:c>
      <x:c r="P49" s="29" t="n">
        <x:v>60905.178</x:v>
      </x:c>
      <x:c r="Q49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30" customHeight="1">
      <x:c r="A1" s="3" t="str">
        <x:v>Latest comparable indicators (2024)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9" t="str">
        <x:v>Country code</x:v>
      </x:c>
      <x:c r="B3" s="33" t="str">
        <x:v>Country</x:v>
      </x:c>
      <x:c r="C3" s="33" t="str">
        <x:v>Salary EUR (Eurostat)</x:v>
      </x:c>
      <x:c r="D3" s="33" t="str">
        <x:v>Wage PPP USD (OECD)</x:v>
      </x:c>
      <x:c r="E3" s="33" t="str">
        <x:v>STEM graduates / 1,000</x:v>
      </x:c>
      <x:c r="F3" s="33" t="str">
        <x:v>GDP pc PPP</x:v>
      </x:c>
      <x:c r="G3" s="33" t="str">
        <x:v>GDP growth %</x:v>
      </x:c>
      <x:c r="H3" s="33" t="str">
        <x:v>Unemployment %</x:v>
      </x:c>
      <x:c r="I3" s="10" t="str">
        <x:v>R&amp;D % GDP (latest available)</x:v>
      </x:c>
    </x:row>
    <x:row r="4">
      <x:c r="A4" s="43" t="str">
        <x:v>BE</x:v>
      </x:c>
      <x:c r="B4" s="44" t="str">
        <x:v>Belgium</x:v>
      </x:c>
      <x:c r="C4" s="45" t="n">
        <x:f>IF(SUMIFS('Panel 2019-2024'!$N$2:$N$49,'Panel 2019-2024'!$A$2:$A$49,$A4,'Panel 2019-2024'!$C$2:$C$49,2024)=0,"",SUMIFS('Panel 2019-2024'!$N$2:$N$49,'Panel 2019-2024'!$A$2:$A$49,$A4,'Panel 2019-2024'!$C$2:$C$49,2024))</x:f>
        <x:v>59632</x:v>
      </x:c>
      <x:c r="D4" s="46" t="n">
        <x:f>IF(SUMIFS('Panel 2019-2024'!$P$2:$P$49,'Panel 2019-2024'!$A$2:$A$49,$A4,'Panel 2019-2024'!$C$2:$C$49,2024)=0,"",SUMIFS('Panel 2019-2024'!$P$2:$P$49,'Panel 2019-2024'!$A$2:$A$49,$A4,'Panel 2019-2024'!$C$2:$C$49,2024))</x:f>
        <x:v>78614.158</x:v>
      </x:c>
      <x:c r="E4" s="47" t="n">
        <x:f>IF(SUMIFS('Panel 2019-2024'!$O$2:$O$49,'Panel 2019-2024'!$A$2:$A$49,$A4,'Panel 2019-2024'!$C$2:$C$49,2024)=0,"",SUMIFS('Panel 2019-2024'!$O$2:$O$49,'Panel 2019-2024'!$A$2:$A$49,$A4,'Panel 2019-2024'!$C$2:$C$49,2024))</x:f>
        <x:v>17.5</x:v>
      </x:c>
      <x:c r="F4" s="47" t="n">
        <x:f>IF(SUMIFS('Panel 2019-2024'!$D$2:$D$49,'Panel 2019-2024'!$A$2:$A$49,$A4,'Panel 2019-2024'!$C$2:$C$49,2024)=0,"",SUMIFS('Panel 2019-2024'!$D$2:$D$49,'Panel 2019-2024'!$A$2:$A$49,$A4,'Panel 2019-2024'!$C$2:$C$49,2024))</x:f>
        <x:v>63311.2766917178</x:v>
      </x:c>
      <x:c r="G4" s="47" t="n">
        <x:f>IF(SUMIFS('Panel 2019-2024'!$E$2:$E$49,'Panel 2019-2024'!$A$2:$A$49,$A4,'Panel 2019-2024'!$C$2:$C$49,2024)=0,"",SUMIFS('Panel 2019-2024'!$E$2:$E$49,'Panel 2019-2024'!$A$2:$A$49,$A4,'Panel 2019-2024'!$C$2:$C$49,2024))</x:f>
        <x:v>1.0977538383</x:v>
      </x:c>
      <x:c r="H4" s="47" t="n">
        <x:f>IF(SUMIFS('Panel 2019-2024'!$F$2:$F$49,'Panel 2019-2024'!$A$2:$A$49,$A4,'Panel 2019-2024'!$C$2:$C$49,2024)=0,"",SUMIFS('Panel 2019-2024'!$F$2:$F$49,'Panel 2019-2024'!$A$2:$A$49,$A4,'Panel 2019-2024'!$C$2:$C$49,2024))</x:f>
        <x:v>5.7</x:v>
      </x:c>
      <x:c r="I4" s="48" t="n">
        <x:f>IF(COUNTIFS('Panel 2019-2024'!$A$2:$A$49,$A4,'Panel 2019-2024'!$C$2:$C$49,2023)=0,"",SUMIFS('Panel 2019-2024'!$H$2:$H$49,'Panel 2019-2024'!$A$2:$A$49,$A4,'Panel 2019-2024'!$C$2:$C$49,2023))</x:f>
        <x:v>3.27235</x:v>
      </x:c>
    </x:row>
    <x:row r="5">
      <x:c r="A5" s="43" t="str">
        <x:v>CZ</x:v>
      </x:c>
      <x:c r="B5" s="44" t="str">
        <x:v>Czechia</x:v>
      </x:c>
      <x:c r="C5" s="45" t="n">
        <x:f>IF(SUMIFS('Panel 2019-2024'!$N$2:$N$49,'Panel 2019-2024'!$A$2:$A$49,$A5,'Panel 2019-2024'!$C$2:$C$49,2024)=0,"",SUMIFS('Panel 2019-2024'!$N$2:$N$49,'Panel 2019-2024'!$A$2:$A$49,$A5,'Panel 2019-2024'!$C$2:$C$49,2024))</x:f>
        <x:v>23998</x:v>
      </x:c>
      <x:c r="D5" s="46" t="n">
        <x:f>IF(SUMIFS('Panel 2019-2024'!$P$2:$P$49,'Panel 2019-2024'!$A$2:$A$49,$A5,'Panel 2019-2024'!$C$2:$C$49,2024)=0,"",SUMIFS('Panel 2019-2024'!$P$2:$P$49,'Panel 2019-2024'!$A$2:$A$49,$A5,'Panel 2019-2024'!$C$2:$C$49,2024))</x:f>
        <x:v>41953.664</x:v>
      </x:c>
      <x:c r="E5" s="47" t="n">
        <x:f>IF(SUMIFS('Panel 2019-2024'!$O$2:$O$49,'Panel 2019-2024'!$A$2:$A$49,$A5,'Panel 2019-2024'!$C$2:$C$49,2024)=0,"",SUMIFS('Panel 2019-2024'!$O$2:$O$49,'Panel 2019-2024'!$A$2:$A$49,$A5,'Panel 2019-2024'!$C$2:$C$49,2024))</x:f>
        <x:v>17.1</x:v>
      </x:c>
      <x:c r="F5" s="47" t="n">
        <x:f>IF(SUMIFS('Panel 2019-2024'!$D$2:$D$49,'Panel 2019-2024'!$A$2:$A$49,$A5,'Panel 2019-2024'!$C$2:$C$49,2024)=0,"",SUMIFS('Panel 2019-2024'!$D$2:$D$49,'Panel 2019-2024'!$A$2:$A$49,$A5,'Panel 2019-2024'!$C$2:$C$49,2024))</x:f>
        <x:v>47972.53171792</x:v>
      </x:c>
      <x:c r="G5" s="47" t="n">
        <x:f>IF(SUMIFS('Panel 2019-2024'!$E$2:$E$49,'Panel 2019-2024'!$A$2:$A$49,$A5,'Panel 2019-2024'!$C$2:$C$49,2024)=0,"",SUMIFS('Panel 2019-2024'!$E$2:$E$49,'Panel 2019-2024'!$A$2:$A$49,$A5,'Panel 2019-2024'!$C$2:$C$49,2024))</x:f>
        <x:v>1.2513109625</x:v>
      </x:c>
      <x:c r="H5" s="47" t="n">
        <x:f>IF(SUMIFS('Panel 2019-2024'!$F$2:$F$49,'Panel 2019-2024'!$A$2:$A$49,$A5,'Panel 2019-2024'!$C$2:$C$49,2024)=0,"",SUMIFS('Panel 2019-2024'!$F$2:$F$49,'Panel 2019-2024'!$A$2:$A$49,$A5,'Panel 2019-2024'!$C$2:$C$49,2024))</x:f>
        <x:v>2.6</x:v>
      </x:c>
      <x:c r="I5" s="48" t="n">
        <x:f>IF(COUNTIFS('Panel 2019-2024'!$A$2:$A$49,$A5,'Panel 2019-2024'!$C$2:$C$49,2023)=0,"",SUMIFS('Panel 2019-2024'!$H$2:$H$49,'Panel 2019-2024'!$A$2:$A$49,$A5,'Panel 2019-2024'!$C$2:$C$49,2023))</x:f>
        <x:v>1.83369</x:v>
      </x:c>
    </x:row>
    <x:row r="6">
      <x:c r="A6" s="43" t="str">
        <x:v>DE</x:v>
      </x:c>
      <x:c r="B6" s="44" t="str">
        <x:v>Germany</x:v>
      </x:c>
      <x:c r="C6" s="45" t="n">
        <x:f>IF(SUMIFS('Panel 2019-2024'!$N$2:$N$49,'Panel 2019-2024'!$A$2:$A$49,$A6,'Panel 2019-2024'!$C$2:$C$49,2024)=0,"",SUMIFS('Panel 2019-2024'!$N$2:$N$49,'Panel 2019-2024'!$A$2:$A$49,$A6,'Panel 2019-2024'!$C$2:$C$49,2024))</x:f>
        <x:v>53791</x:v>
      </x:c>
      <x:c r="D6" s="46" t="n">
        <x:f>IF(SUMIFS('Panel 2019-2024'!$P$2:$P$49,'Panel 2019-2024'!$A$2:$A$49,$A6,'Panel 2019-2024'!$C$2:$C$49,2024)=0,"",SUMIFS('Panel 2019-2024'!$P$2:$P$49,'Panel 2019-2024'!$A$2:$A$49,$A6,'Panel 2019-2024'!$C$2:$C$49,2024))</x:f>
        <x:v>74854.088</x:v>
      </x:c>
      <x:c r="E6" s="47" t="n">
        <x:f>IF(SUMIFS('Panel 2019-2024'!$O$2:$O$49,'Panel 2019-2024'!$A$2:$A$49,$A6,'Panel 2019-2024'!$C$2:$C$49,2024)=0,"",SUMIFS('Panel 2019-2024'!$O$2:$O$49,'Panel 2019-2024'!$A$2:$A$49,$A6,'Panel 2019-2024'!$C$2:$C$49,2024))</x:f>
        <x:v>24.4</x:v>
      </x:c>
      <x:c r="F6" s="47" t="n">
        <x:f>IF(SUMIFS('Panel 2019-2024'!$D$2:$D$49,'Panel 2019-2024'!$A$2:$A$49,$A6,'Panel 2019-2024'!$C$2:$C$49,2024)=0,"",SUMIFS('Panel 2019-2024'!$D$2:$D$49,'Panel 2019-2024'!$A$2:$A$49,$A6,'Panel 2019-2024'!$C$2:$C$49,2024))</x:f>
        <x:v>62654.602264023</x:v>
      </x:c>
      <x:c r="G6" s="47" t="n">
        <x:f>IF(SUMIFS('Panel 2019-2024'!$E$2:$E$49,'Panel 2019-2024'!$A$2:$A$49,$A6,'Panel 2019-2024'!$C$2:$C$49,2024)=0,"",SUMIFS('Panel 2019-2024'!$E$2:$E$49,'Panel 2019-2024'!$A$2:$A$49,$A6,'Panel 2019-2024'!$C$2:$C$49,2024))</x:f>
        <x:v>-0.4958518973</x:v>
      </x:c>
      <x:c r="H6" s="47" t="n">
        <x:f>IF(SUMIFS('Panel 2019-2024'!$F$2:$F$49,'Panel 2019-2024'!$A$2:$A$49,$A6,'Panel 2019-2024'!$C$2:$C$49,2024)=0,"",SUMIFS('Panel 2019-2024'!$F$2:$F$49,'Panel 2019-2024'!$A$2:$A$49,$A6,'Panel 2019-2024'!$C$2:$C$49,2024))</x:f>
        <x:v>3.4</x:v>
      </x:c>
      <x:c r="I6" s="48" t="n">
        <x:f>IF(COUNTIFS('Panel 2019-2024'!$A$2:$A$49,$A6,'Panel 2019-2024'!$C$2:$C$49,2023)=0,"",SUMIFS('Panel 2019-2024'!$H$2:$H$49,'Panel 2019-2024'!$A$2:$A$49,$A6,'Panel 2019-2024'!$C$2:$C$49,2023))</x:f>
        <x:v>3.1539</x:v>
      </x:c>
    </x:row>
    <x:row r="7">
      <x:c r="A7" s="43" t="str">
        <x:v>EL</x:v>
      </x:c>
      <x:c r="B7" s="44" t="str">
        <x:v>Greece</x:v>
      </x:c>
      <x:c r="C7" s="45" t="n">
        <x:f>IF(SUMIFS('Panel 2019-2024'!$N$2:$N$49,'Panel 2019-2024'!$A$2:$A$49,$A7,'Panel 2019-2024'!$C$2:$C$49,2024)=0,"",SUMIFS('Panel 2019-2024'!$N$2:$N$49,'Panel 2019-2024'!$A$2:$A$49,$A7,'Panel 2019-2024'!$C$2:$C$49,2024))</x:f>
        <x:v>17954</x:v>
      </x:c>
      <x:c r="D7" s="46" t="n">
        <x:f>IF(SUMIFS('Panel 2019-2024'!$P$2:$P$49,'Panel 2019-2024'!$A$2:$A$49,$A7,'Panel 2019-2024'!$C$2:$C$49,2024)=0,"",SUMIFS('Panel 2019-2024'!$P$2:$P$49,'Panel 2019-2024'!$A$2:$A$49,$A7,'Panel 2019-2024'!$C$2:$C$49,2024))</x:f>
        <x:v>32502.756</x:v>
      </x:c>
      <x:c r="E7" s="47" t="n">
        <x:f>IF(SUMIFS('Panel 2019-2024'!$O$2:$O$49,'Panel 2019-2024'!$A$2:$A$49,$A7,'Panel 2019-2024'!$C$2:$C$49,2024)=0,"",SUMIFS('Panel 2019-2024'!$O$2:$O$49,'Panel 2019-2024'!$A$2:$A$49,$A7,'Panel 2019-2024'!$C$2:$C$49,2024))</x:f>
        <x:v>21.9</x:v>
      </x:c>
      <x:c r="F7" s="47" t="n">
        <x:f>IF(SUMIFS('Panel 2019-2024'!$D$2:$D$49,'Panel 2019-2024'!$A$2:$A$49,$A7,'Panel 2019-2024'!$C$2:$C$49,2024)=0,"",SUMIFS('Panel 2019-2024'!$D$2:$D$49,'Panel 2019-2024'!$A$2:$A$49,$A7,'Panel 2019-2024'!$C$2:$C$49,2024))</x:f>
        <x:v>37474.2798239947</x:v>
      </x:c>
      <x:c r="G7" s="47" t="n">
        <x:f>IF(SUMIFS('Panel 2019-2024'!$E$2:$E$49,'Panel 2019-2024'!$A$2:$A$49,$A7,'Panel 2019-2024'!$C$2:$C$49,2024)=0,"",SUMIFS('Panel 2019-2024'!$E$2:$E$49,'Panel 2019-2024'!$A$2:$A$49,$A7,'Panel 2019-2024'!$C$2:$C$49,2024))</x:f>
        <x:v>2.0865743381</x:v>
      </x:c>
      <x:c r="H7" s="47" t="n">
        <x:f>IF(SUMIFS('Panel 2019-2024'!$F$2:$F$49,'Panel 2019-2024'!$A$2:$A$49,$A7,'Panel 2019-2024'!$C$2:$C$49,2024)=0,"",SUMIFS('Panel 2019-2024'!$F$2:$F$49,'Panel 2019-2024'!$A$2:$A$49,$A7,'Panel 2019-2024'!$C$2:$C$49,2024))</x:f>
        <x:v>10.02</x:v>
      </x:c>
      <x:c r="I7" s="48" t="n">
        <x:f>IF(COUNTIFS('Panel 2019-2024'!$A$2:$A$49,$A7,'Panel 2019-2024'!$C$2:$C$49,2023)=0,"",SUMIFS('Panel 2019-2024'!$H$2:$H$49,'Panel 2019-2024'!$A$2:$A$49,$A7,'Panel 2019-2024'!$C$2:$C$49,2023))</x:f>
        <x:v>1.4943</x:v>
      </x:c>
    </x:row>
    <x:row r="8">
      <x:c r="A8" s="43" t="str">
        <x:v>ES</x:v>
      </x:c>
      <x:c r="B8" s="44" t="str">
        <x:v>Spain</x:v>
      </x:c>
      <x:c r="C8" s="45" t="n">
        <x:f>IF(SUMIFS('Panel 2019-2024'!$N$2:$N$49,'Panel 2019-2024'!$A$2:$A$49,$A8,'Panel 2019-2024'!$C$2:$C$49,2024)=0,"",SUMIFS('Panel 2019-2024'!$N$2:$N$49,'Panel 2019-2024'!$A$2:$A$49,$A8,'Panel 2019-2024'!$C$2:$C$49,2024))</x:f>
        <x:v>33700</x:v>
      </x:c>
      <x:c r="D8" s="46" t="n">
        <x:f>IF(SUMIFS('Panel 2019-2024'!$P$2:$P$49,'Panel 2019-2024'!$A$2:$A$49,$A8,'Panel 2019-2024'!$C$2:$C$49,2024)=0,"",SUMIFS('Panel 2019-2024'!$P$2:$P$49,'Panel 2019-2024'!$A$2:$A$49,$A8,'Panel 2019-2024'!$C$2:$C$49,2024))</x:f>
        <x:v>57082.887</x:v>
      </x:c>
      <x:c r="E8" s="47" t="n">
        <x:f>IF(SUMIFS('Panel 2019-2024'!$O$2:$O$49,'Panel 2019-2024'!$A$2:$A$49,$A8,'Panel 2019-2024'!$C$2:$C$49,2024)=0,"",SUMIFS('Panel 2019-2024'!$O$2:$O$49,'Panel 2019-2024'!$A$2:$A$49,$A8,'Panel 2019-2024'!$C$2:$C$49,2024))</x:f>
        <x:v>24.8</x:v>
      </x:c>
      <x:c r="F8" s="47" t="n">
        <x:f>IF(SUMIFS('Panel 2019-2024'!$D$2:$D$49,'Panel 2019-2024'!$A$2:$A$49,$A8,'Panel 2019-2024'!$C$2:$C$49,2024)=0,"",SUMIFS('Panel 2019-2024'!$D$2:$D$49,'Panel 2019-2024'!$A$2:$A$49,$A8,'Panel 2019-2024'!$C$2:$C$49,2024))</x:f>
        <x:v>48460.2914069661</x:v>
      </x:c>
      <x:c r="G8" s="47" t="n">
        <x:f>IF(SUMIFS('Panel 2019-2024'!$E$2:$E$49,'Panel 2019-2024'!$A$2:$A$49,$A8,'Panel 2019-2024'!$C$2:$C$49,2024)=0,"",SUMIFS('Panel 2019-2024'!$E$2:$E$49,'Panel 2019-2024'!$A$2:$A$49,$A8,'Panel 2019-2024'!$C$2:$C$49,2024))</x:f>
        <x:v>3.4552540563</x:v>
      </x:c>
      <x:c r="H8" s="47" t="n">
        <x:f>IF(SUMIFS('Panel 2019-2024'!$F$2:$F$49,'Panel 2019-2024'!$A$2:$A$49,$A8,'Panel 2019-2024'!$C$2:$C$49,2024)=0,"",SUMIFS('Panel 2019-2024'!$F$2:$F$49,'Panel 2019-2024'!$A$2:$A$49,$A8,'Panel 2019-2024'!$C$2:$C$49,2024))</x:f>
        <x:v>11.4</x:v>
      </x:c>
      <x:c r="I8" s="48" t="n">
        <x:f>IF(COUNTIFS('Panel 2019-2024'!$A$2:$A$49,$A8,'Panel 2019-2024'!$C$2:$C$49,2023)=0,"",SUMIFS('Panel 2019-2024'!$H$2:$H$49,'Panel 2019-2024'!$A$2:$A$49,$A8,'Panel 2019-2024'!$C$2:$C$49,2023))</x:f>
        <x:v>1.49362</x:v>
      </x:c>
    </x:row>
    <x:row r="9">
      <x:c r="A9" s="43" t="str">
        <x:v>FR</x:v>
      </x:c>
      <x:c r="B9" s="44" t="str">
        <x:v>France</x:v>
      </x:c>
      <x:c r="C9" s="45" t="n">
        <x:f>IF(SUMIFS('Panel 2019-2024'!$N$2:$N$49,'Panel 2019-2024'!$A$2:$A$49,$A9,'Panel 2019-2024'!$C$2:$C$49,2024)=0,"",SUMIFS('Panel 2019-2024'!$N$2:$N$49,'Panel 2019-2024'!$A$2:$A$49,$A9,'Panel 2019-2024'!$C$2:$C$49,2024))</x:f>
        <x:v>43790</x:v>
      </x:c>
      <x:c r="D9" s="46" t="n">
        <x:f>IF(SUMIFS('Panel 2019-2024'!$P$2:$P$49,'Panel 2019-2024'!$A$2:$A$49,$A9,'Panel 2019-2024'!$C$2:$C$49,2024)=0,"",SUMIFS('Panel 2019-2024'!$P$2:$P$49,'Panel 2019-2024'!$A$2:$A$49,$A9,'Panel 2019-2024'!$C$2:$C$49,2024))</x:f>
        <x:v>59864.791</x:v>
      </x:c>
      <x:c r="E9" s="47" t="n">
        <x:f>IF(SUMIFS('Panel 2019-2024'!$O$2:$O$49,'Panel 2019-2024'!$A$2:$A$49,$A9,'Panel 2019-2024'!$C$2:$C$49,2024)=0,"",SUMIFS('Panel 2019-2024'!$O$2:$O$49,'Panel 2019-2024'!$A$2:$A$49,$A9,'Panel 2019-2024'!$C$2:$C$49,2024))</x:f>
        <x:v>28</x:v>
      </x:c>
      <x:c r="F9" s="47" t="n">
        <x:f>IF(SUMIFS('Panel 2019-2024'!$D$2:$D$49,'Panel 2019-2024'!$A$2:$A$49,$A9,'Panel 2019-2024'!$C$2:$C$49,2024)=0,"",SUMIFS('Panel 2019-2024'!$D$2:$D$49,'Panel 2019-2024'!$A$2:$A$49,$A9,'Panel 2019-2024'!$C$2:$C$49,2024))</x:f>
        <x:v>54799.3482689389</x:v>
      </x:c>
      <x:c r="G9" s="47" t="n">
        <x:f>IF(SUMIFS('Panel 2019-2024'!$E$2:$E$49,'Panel 2019-2024'!$A$2:$A$49,$A9,'Panel 2019-2024'!$C$2:$C$49,2024)=0,"",SUMIFS('Panel 2019-2024'!$E$2:$E$49,'Panel 2019-2024'!$A$2:$A$49,$A9,'Panel 2019-2024'!$C$2:$C$49,2024))</x:f>
        <x:v>1.1904679828</x:v>
      </x:c>
      <x:c r="H9" s="47" t="n">
        <x:f>IF(SUMIFS('Panel 2019-2024'!$F$2:$F$49,'Panel 2019-2024'!$A$2:$A$49,$A9,'Panel 2019-2024'!$C$2:$C$49,2024)=0,"",SUMIFS('Panel 2019-2024'!$F$2:$F$49,'Panel 2019-2024'!$A$2:$A$49,$A9,'Panel 2019-2024'!$C$2:$C$49,2024))</x:f>
        <x:v>7.4</x:v>
      </x:c>
      <x:c r="I9" s="48" t="n">
        <x:f>IF(COUNTIFS('Panel 2019-2024'!$A$2:$A$49,$A9,'Panel 2019-2024'!$C$2:$C$49,2023)=0,"",SUMIFS('Panel 2019-2024'!$H$2:$H$49,'Panel 2019-2024'!$A$2:$A$49,$A9,'Panel 2019-2024'!$C$2:$C$49,2023))</x:f>
        <x:v>2.17832</x:v>
      </x:c>
    </x:row>
    <x:row r="10">
      <x:c r="A10" s="43" t="str">
        <x:v>NL</x:v>
      </x:c>
      <x:c r="B10" s="44" t="str">
        <x:v>Netherlands</x:v>
      </x:c>
      <x:c r="C10" s="45" t="str">
        <x:f>IF(SUMIFS('Panel 2019-2024'!$N$2:$N$49,'Panel 2019-2024'!$A$2:$A$49,$A10,'Panel 2019-2024'!$C$2:$C$49,2024)=0,"",SUMIFS('Panel 2019-2024'!$N$2:$N$49,'Panel 2019-2024'!$A$2:$A$49,$A10,'Panel 2019-2024'!$C$2:$C$49,2024))</x:f>
      </x:c>
      <x:c r="D10" s="46" t="n">
        <x:f>IF(SUMIFS('Panel 2019-2024'!$P$2:$P$49,'Panel 2019-2024'!$A$2:$A$49,$A10,'Panel 2019-2024'!$C$2:$C$49,2024)=0,"",SUMIFS('Panel 2019-2024'!$P$2:$P$49,'Panel 2019-2024'!$A$2:$A$49,$A10,'Panel 2019-2024'!$C$2:$C$49,2024))</x:f>
        <x:v>78682.989</x:v>
      </x:c>
      <x:c r="E10" s="47" t="n">
        <x:f>IF(SUMIFS('Panel 2019-2024'!$O$2:$O$49,'Panel 2019-2024'!$A$2:$A$49,$A10,'Panel 2019-2024'!$C$2:$C$49,2024)=0,"",SUMIFS('Panel 2019-2024'!$O$2:$O$49,'Panel 2019-2024'!$A$2:$A$49,$A10,'Panel 2019-2024'!$C$2:$C$49,2024))</x:f>
        <x:v>17.1</x:v>
      </x:c>
      <x:c r="F10" s="47" t="n">
        <x:f>IF(SUMIFS('Panel 2019-2024'!$D$2:$D$49,'Panel 2019-2024'!$A$2:$A$49,$A10,'Panel 2019-2024'!$C$2:$C$49,2024)=0,"",SUMIFS('Panel 2019-2024'!$D$2:$D$49,'Panel 2019-2024'!$A$2:$A$49,$A10,'Panel 2019-2024'!$C$2:$C$49,2024))</x:f>
        <x:v>70493.9051219267</x:v>
      </x:c>
      <x:c r="G10" s="47" t="n">
        <x:f>IF(SUMIFS('Panel 2019-2024'!$E$2:$E$49,'Panel 2019-2024'!$A$2:$A$49,$A10,'Panel 2019-2024'!$C$2:$C$49,2024)=0,"",SUMIFS('Panel 2019-2024'!$E$2:$E$49,'Panel 2019-2024'!$A$2:$A$49,$A10,'Panel 2019-2024'!$C$2:$C$49,2024))</x:f>
        <x:v>1.0738313732</x:v>
      </x:c>
      <x:c r="H10" s="47" t="n">
        <x:f>IF(SUMIFS('Panel 2019-2024'!$F$2:$F$49,'Panel 2019-2024'!$A$2:$A$49,$A10,'Panel 2019-2024'!$C$2:$C$49,2024)=0,"",SUMIFS('Panel 2019-2024'!$F$2:$F$49,'Panel 2019-2024'!$A$2:$A$49,$A10,'Panel 2019-2024'!$C$2:$C$49,2024))</x:f>
        <x:v>3.7</x:v>
      </x:c>
      <x:c r="I10" s="48" t="n">
        <x:f>IF(COUNTIFS('Panel 2019-2024'!$A$2:$A$49,$A10,'Panel 2019-2024'!$C$2:$C$49,2023)=0,"",SUMIFS('Panel 2019-2024'!$H$2:$H$49,'Panel 2019-2024'!$A$2:$A$49,$A10,'Panel 2019-2024'!$C$2:$C$49,2023))</x:f>
        <x:v>2.26719</x:v>
      </x:c>
    </x:row>
    <x:row r="11">
      <x:c r="A11" s="49" t="str">
        <x:v>SE</x:v>
      </x:c>
      <x:c r="B11" s="50" t="str">
        <x:v>Sweden</x:v>
      </x:c>
      <x:c r="C11" s="51" t="n">
        <x:f>IF(SUMIFS('Panel 2019-2024'!$N$2:$N$49,'Panel 2019-2024'!$A$2:$A$49,$A11,'Panel 2019-2024'!$C$2:$C$49,2024)=0,"",SUMIFS('Panel 2019-2024'!$N$2:$N$49,'Panel 2019-2024'!$A$2:$A$49,$A11,'Panel 2019-2024'!$C$2:$C$49,2024))</x:f>
        <x:v>46525</x:v>
      </x:c>
      <x:c r="D11" s="52" t="n">
        <x:f>IF(SUMIFS('Panel 2019-2024'!$P$2:$P$49,'Panel 2019-2024'!$A$2:$A$49,$A11,'Panel 2019-2024'!$C$2:$C$49,2024)=0,"",SUMIFS('Panel 2019-2024'!$P$2:$P$49,'Panel 2019-2024'!$A$2:$A$49,$A11,'Panel 2019-2024'!$C$2:$C$49,2024))</x:f>
        <x:v>60905.178</x:v>
      </x:c>
      <x:c r="E11" s="53" t="n">
        <x:f>IF(SUMIFS('Panel 2019-2024'!$O$2:$O$49,'Panel 2019-2024'!$A$2:$A$49,$A11,'Panel 2019-2024'!$C$2:$C$49,2024)=0,"",SUMIFS('Panel 2019-2024'!$O$2:$O$49,'Panel 2019-2024'!$A$2:$A$49,$A11,'Panel 2019-2024'!$C$2:$C$49,2024))</x:f>
        <x:v>22.8</x:v>
      </x:c>
      <x:c r="F11" s="53" t="n">
        <x:f>IF(SUMIFS('Panel 2019-2024'!$D$2:$D$49,'Panel 2019-2024'!$A$2:$A$49,$A11,'Panel 2019-2024'!$C$2:$C$49,2024)=0,"",SUMIFS('Panel 2019-2024'!$D$2:$D$49,'Panel 2019-2024'!$A$2:$A$49,$A11,'Panel 2019-2024'!$C$2:$C$49,2024))</x:f>
        <x:v>62558.4065876041</x:v>
      </x:c>
      <x:c r="G11" s="53" t="n">
        <x:f>IF(SUMIFS('Panel 2019-2024'!$E$2:$E$49,'Panel 2019-2024'!$A$2:$A$49,$A11,'Panel 2019-2024'!$C$2:$C$49,2024)=0,"",SUMIFS('Panel 2019-2024'!$E$2:$E$49,'Panel 2019-2024'!$A$2:$A$49,$A11,'Panel 2019-2024'!$C$2:$C$49,2024))</x:f>
        <x:v>1.017796333</x:v>
      </x:c>
      <x:c r="H11" s="53" t="n">
        <x:f>IF(SUMIFS('Panel 2019-2024'!$F$2:$F$49,'Panel 2019-2024'!$A$2:$A$49,$A11,'Panel 2019-2024'!$C$2:$C$49,2024)=0,"",SUMIFS('Panel 2019-2024'!$F$2:$F$49,'Panel 2019-2024'!$A$2:$A$49,$A11,'Panel 2019-2024'!$C$2:$C$49,2024))</x:f>
        <x:v>8.4</x:v>
      </x:c>
      <x:c r="I11" s="54" t="n">
        <x:f>IF(COUNTIFS('Panel 2019-2024'!$A$2:$A$49,$A11,'Panel 2019-2024'!$C$2:$C$49,2023)=0,"",SUMIFS('Panel 2019-2024'!$H$2:$H$49,'Panel 2019-2024'!$A$2:$A$49,$A11,'Panel 2019-2024'!$C$2:$C$49,2023))</x:f>
        <x:v>3.59978</x:v>
      </x:c>
    </x:row>
    <x:row r="13">
      <x:c r="A13" s="56" t="str">
        <x:v>Interpretation note</x:v>
      </x:c>
      <x:c r="B13" s="56"/>
      <x:c r="C13" s="56"/>
      <x:c r="D13" s="56"/>
      <x:c r="E13" s="56"/>
      <x:c r="F13" s="56"/>
      <x:c r="G13" s="56"/>
      <x:c r="H13" s="56"/>
      <x:c r="I13" s="56"/>
    </x:row>
    <x:row r="14" ht="36" customHeight="1">
      <x:c r="A14" s="58" t="str">
        <x:v>PPP wages</x:v>
      </x:c>
      <x:c r="B14" s="59" t="str">
        <x:v>Preferred for comparing purchasing power across countries; constant 2025 USD PPP.</x:v>
      </x:c>
      <x:c r="C14" s="59"/>
      <x:c r="D14" s="59"/>
      <x:c r="E14" s="59"/>
      <x:c r="F14" s="59"/>
      <x:c r="G14" s="59"/>
      <x:c r="H14" s="59"/>
      <x:c r="I14" s="59"/>
    </x:row>
    <x:row r="15" ht="36" customHeight="1">
      <x:c r="A15" s="58" t="str">
        <x:v>R&amp;D 2024</x:v>
      </x:c>
      <x:c r="B15" s="59" t="str">
        <x:v>World Bank 2024 values were not yet available; the summary shows 2023, clearly labelled.</x:v>
      </x:c>
      <x:c r="C15" s="59"/>
      <x:c r="D15" s="59"/>
      <x:c r="E15" s="59"/>
      <x:c r="F15" s="59"/>
      <x:c r="G15" s="59"/>
      <x:c r="H15" s="59"/>
      <x:c r="I15" s="59"/>
    </x:row>
  </x:sheetData>
  <x:mergeCells>
    <x:mergeCell ref="A1:I1"/>
    <x:mergeCell ref="B14:I14"/>
    <x:mergeCell ref="B15:I15"/>
  </x:mergeCells>
  <x:conditionalFormatting sqref="C4:I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60" hidden="0" customWidth="1"/>
    <x:col min="5" max="5" width="24" hidden="0" customWidth="1"/>
    <x:col min="6" max="6" width="70" hidden="0" customWidth="1"/>
  </x:cols>
  <x:sheetData>
    <x:row r="1">
      <x:c r="A1" s="60" t="str">
        <x:v>Organisation</x:v>
      </x:c>
      <x:c r="B1" s="61" t="str">
        <x:v>Indicator</x:v>
      </x:c>
      <x:c r="C1" s="61" t="str">
        <x:v>Dataset code</x:v>
      </x:c>
      <x:c r="D1" s="61" t="str">
        <x:v>Definition</x:v>
      </x:c>
      <x:c r="E1" s="61" t="str">
        <x:v>Unit</x:v>
      </x:c>
      <x:c r="F1" s="62" t="str">
        <x:v>Official source URL</x:v>
      </x:c>
    </x:row>
    <x:row r="2">
      <x:c r="A2" s="63" t="str">
        <x:v>World Bank</x:v>
      </x:c>
      <x:c r="B2" s="44" t="str">
        <x:v>GDP per capita, PPP</x:v>
      </x:c>
      <x:c r="C2" s="44" t="str">
        <x:v>NY.GDP.PCAP.PP.KD</x:v>
      </x:c>
      <x:c r="D2" s="44" t="str">
        <x:v>GDP per capita in constant 2021 international dollars, PPP</x:v>
      </x:c>
      <x:c r="E2" s="44" t="str">
        <x:v>constant 2021 international $</x:v>
      </x:c>
      <x:c r="F2" s="64" t="str">
        <x:v>https://data.worldbank.org/indicator/NY.GDP.PCAP.PP.KD</x:v>
      </x:c>
    </x:row>
    <x:row r="3">
      <x:c r="A3" s="63" t="str">
        <x:v>World Bank</x:v>
      </x:c>
      <x:c r="B3" s="44" t="str">
        <x:v>Real GDP growth</x:v>
      </x:c>
      <x:c r="C3" s="44" t="str">
        <x:v>NY.GDP.MKTP.KD.ZG</x:v>
      </x:c>
      <x:c r="D3" s="44" t="str">
        <x:v>Annual percentage growth of GDP at market prices</x:v>
      </x:c>
      <x:c r="E3" s="44" t="str">
        <x:v>%</x:v>
      </x:c>
      <x:c r="F3" s="64" t="str">
        <x:v>https://data.worldbank.org/indicator/NY.GDP.MKTP.KD.ZG</x:v>
      </x:c>
    </x:row>
    <x:row r="4">
      <x:c r="A4" s="63" t="str">
        <x:v>World Bank</x:v>
      </x:c>
      <x:c r="B4" s="44" t="str">
        <x:v>Unemployment</x:v>
      </x:c>
      <x:c r="C4" s="44" t="str">
        <x:v>SL.UEM.TOTL.ZS</x:v>
      </x:c>
      <x:c r="D4" s="44" t="str">
        <x:v>Share of total labor force without work and seeking employment (ILO estimate)</x:v>
      </x:c>
      <x:c r="E4" s="44" t="str">
        <x:v>% labor force</x:v>
      </x:c>
      <x:c r="F4" s="64" t="str">
        <x:v>https://data.worldbank.org/indicator/SL.UEM.TOTL.ZS</x:v>
      </x:c>
    </x:row>
    <x:row r="5">
      <x:c r="A5" s="63" t="str">
        <x:v>World Bank</x:v>
      </x:c>
      <x:c r="B5" s="44" t="str">
        <x:v>Inflation</x:v>
      </x:c>
      <x:c r="C5" s="44" t="str">
        <x:v>FP.CPI.TOTL.ZG</x:v>
      </x:c>
      <x:c r="D5" s="44" t="str">
        <x:v>Annual percentage change in consumer price index</x:v>
      </x:c>
      <x:c r="E5" s="44" t="str">
        <x:v>%</x:v>
      </x:c>
      <x:c r="F5" s="64" t="str">
        <x:v>https://data.worldbank.org/indicator/FP.CPI.TOTL.ZG</x:v>
      </x:c>
    </x:row>
    <x:row r="6">
      <x:c r="A6" s="63" t="str">
        <x:v>World Bank</x:v>
      </x:c>
      <x:c r="B6" s="44" t="str">
        <x:v>R&amp;D expenditure</x:v>
      </x:c>
      <x:c r="C6" s="44" t="str">
        <x:v>GB.XPD.RSDV.GD.ZS</x:v>
      </x:c>
      <x:c r="D6" s="44" t="str">
        <x:v>Gross domestic expenditure on research and development</x:v>
      </x:c>
      <x:c r="E6" s="44" t="str">
        <x:v>% GDP</x:v>
      </x:c>
      <x:c r="F6" s="64" t="str">
        <x:v>https://data.worldbank.org/indicator/GB.XPD.RSDV.GD.ZS</x:v>
      </x:c>
    </x:row>
    <x:row r="7">
      <x:c r="A7" s="63" t="str">
        <x:v>World Bank</x:v>
      </x:c>
      <x:c r="B7" s="44" t="str">
        <x:v>Labor productivity</x:v>
      </x:c>
      <x:c r="C7" s="44" t="str">
        <x:v>SL.GDP.PCAP.EM.KD</x:v>
      </x:c>
      <x:c r="D7" s="44" t="str">
        <x:v>GDP per person employed</x:v>
      </x:c>
      <x:c r="E7" s="44" t="str">
        <x:v>constant 2021 PPP $</x:v>
      </x:c>
      <x:c r="F7" s="64" t="str">
        <x:v>https://data.worldbank.org/indicator/SL.GDP.PCAP.EM.KD</x:v>
      </x:c>
    </x:row>
    <x:row r="8">
      <x:c r="A8" s="63" t="str">
        <x:v>World Bank</x:v>
      </x:c>
      <x:c r="B8" s="44" t="str">
        <x:v>Tertiary enrollment</x:v>
      </x:c>
      <x:c r="C8" s="44" t="str">
        <x:v>SE.TER.ENRR</x:v>
      </x:c>
      <x:c r="D8" s="44" t="str">
        <x:v>Total tertiary enrollment regardless of age relative to official tertiary-age population</x:v>
      </x:c>
      <x:c r="E8" s="44" t="str">
        <x:v>gross %</x:v>
      </x:c>
      <x:c r="F8" s="64" t="str">
        <x:v>https://data.worldbank.org/indicator/SE.TER.ENRR</x:v>
      </x:c>
    </x:row>
    <x:row r="9">
      <x:c r="A9" s="63" t="str">
        <x:v>World Bank</x:v>
      </x:c>
      <x:c r="B9" s="44" t="str">
        <x:v>Internet users</x:v>
      </x:c>
      <x:c r="C9" s="44" t="str">
        <x:v>IT.NET.USER.ZS</x:v>
      </x:c>
      <x:c r="D9" s="44" t="str">
        <x:v>Individuals using the Internet</x:v>
      </x:c>
      <x:c r="E9" s="44" t="str">
        <x:v>% population</x:v>
      </x:c>
      <x:c r="F9" s="64" t="str">
        <x:v>https://data.worldbank.org/indicator/IT.NET.USER.ZS</x:v>
      </x:c>
    </x:row>
    <x:row r="10">
      <x:c r="A10" s="63" t="str">
        <x:v>World Bank</x:v>
      </x:c>
      <x:c r="B10" s="44" t="str">
        <x:v>Population</x:v>
      </x:c>
      <x:c r="C10" s="44" t="str">
        <x:v>SP.POP.TOTL</x:v>
      </x:c>
      <x:c r="D10" s="44" t="str">
        <x:v>Total population</x:v>
      </x:c>
      <x:c r="E10" s="44" t="str">
        <x:v>persons</x:v>
      </x:c>
      <x:c r="F10" s="64" t="str">
        <x:v>https://data.worldbank.org/indicator/SP.POP.TOTL</x:v>
      </x:c>
    </x:row>
    <x:row r="11">
      <x:c r="A11" s="63" t="str">
        <x:v>World Bank</x:v>
      </x:c>
      <x:c r="B11" s="44" t="str">
        <x:v>Trade openness</x:v>
      </x:c>
      <x:c r="C11" s="44" t="str">
        <x:v>NE.TRD.GNFS.ZS</x:v>
      </x:c>
      <x:c r="D11" s="44" t="str">
        <x:v>Exports plus imports of goods and services</x:v>
      </x:c>
      <x:c r="E11" s="44" t="str">
        <x:v>% GDP</x:v>
      </x:c>
      <x:c r="F11" s="64" t="str">
        <x:v>https://data.worldbank.org/indicator/NE.TRD.GNFS.ZS</x:v>
      </x:c>
    </x:row>
    <x:row r="12">
      <x:c r="A12" s="63" t="str">
        <x:v>Eurostat</x:v>
      </x:c>
      <x:c r="B12" s="44" t="str">
        <x:v>Average full-time adjusted salary</x:v>
      </x:c>
      <x:c r="C12" s="44" t="str">
        <x:v>nama_10_fte</x:v>
      </x:c>
      <x:c r="D12" s="44" t="str">
        <x:v>Average annual salary adjusted to full-time equivalent using national accounts and EU-LFS</x:v>
      </x:c>
      <x:c r="E12" s="44" t="str">
        <x:v>current EUR</x:v>
      </x:c>
      <x:c r="F12" s="64" t="str">
        <x:v>https://ec.europa.eu/eurostat/cache/metadata/en/nama_10_fte_esms.htm</x:v>
      </x:c>
    </x:row>
    <x:row r="13">
      <x:c r="A13" s="63" t="str">
        <x:v>Eurostat</x:v>
      </x:c>
      <x:c r="B13" s="44" t="str">
        <x:v>Tertiary STEM graduates</x:v>
      </x:c>
      <x:c r="C13" s="44" t="str">
        <x:v>educ_uoe_grad04</x:v>
      </x:c>
      <x:c r="D13" s="44" t="str">
        <x:v>Graduates in ISCED-F fields 05, 06 and 07 at tertiary levels 5–8</x:v>
      </x:c>
      <x:c r="E13" s="44" t="str">
        <x:v>per 1,000 inhabitants</x:v>
      </x:c>
      <x:c r="F13" s="64" t="str">
        <x:v>https://ec.europa.eu/eurostat/web/education-and-training/information-data</x:v>
      </x:c>
    </x:row>
    <x:row r="14">
      <x:c r="A14" s="63" t="str">
        <x:v>OECD</x:v>
      </x:c>
      <x:c r="B14" s="44" t="str">
        <x:v>Average annual wages</x:v>
      </x:c>
      <x:c r="C14" s="44" t="str">
        <x:v>DSD_EARNINGS@AV_AN_WAGE</x:v>
      </x:c>
      <x:c r="D14" s="44" t="str">
        <x:v>Average annual wages per full-time-equivalent dependent employee; PPP series uses constant 2025 prices</x:v>
      </x:c>
      <x:c r="E14" s="44" t="str">
        <x:v>USD PPP / EUR</x:v>
      </x:c>
      <x:c r="F14" s="64" t="str">
        <x:v>https://www.oecd.org/en/data/indicators/average-annual-wages.html</x:v>
      </x:c>
    </x:row>
    <x:row r="15">
      <x:c r="A15" s="65" t="str">
        <x:v>European Commission</x:v>
      </x:c>
      <x:c r="B15" s="66" t="str">
        <x:v>EURES job-advert source</x:v>
      </x:c>
      <x:c r="C15" s="66" t="str">
        <x:v>EURES</x:v>
      </x:c>
      <x:c r="D15" s="66" t="str">
        <x:v>Country identification was verified from country_code in the local parquet files</x:v>
      </x:c>
      <x:c r="E15" s="66" t="str">
        <x:v>job adverts</x:v>
      </x:c>
      <x:c r="F15" s="67" t="str">
        <x:v>https://eures.europa.eu/index_en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18" hidden="0" customWidth="1"/>
    <x:col min="5" max="5" width="72" hidden="0" customWidth="1"/>
  </x:cols>
  <x:sheetData>
    <x:row r="1" ht="30" customHeight="1">
      <x:c r="A1" s="3" t="str">
        <x:v>Coverage and limitations</x:v>
      </x:c>
      <x:c r="B1" s="3"/>
      <x:c r="C1" s="3"/>
      <x:c r="D1" s="3"/>
      <x:c r="E1" s="3"/>
    </x:row>
    <x:row r="3">
      <x:c r="A3" s="60" t="str">
        <x:v>Variable</x:v>
      </x:c>
      <x:c r="B3" s="61" t="str">
        <x:v>Expected observations</x:v>
      </x:c>
      <x:c r="C3" s="61" t="str">
        <x:v>Available</x:v>
      </x:c>
      <x:c r="D3" s="61" t="str">
        <x:v>Missing</x:v>
      </x:c>
      <x:c r="E3" s="62" t="str">
        <x:v>Treatment / note</x:v>
      </x:c>
    </x:row>
    <x:row r="4">
      <x:c r="A4" s="63" t="str">
        <x:v>gdp_per_capita_ppp_constant_2021_intl_usd</x:v>
      </x:c>
      <x:c r="B4" s="44" t="n">
        <x:v>48</x:v>
      </x:c>
      <x:c r="C4" s="44" t="n">
        <x:v>48</x:v>
      </x:c>
      <x:c r="D4" s="44" t="n">
        <x:v>0</x:v>
      </x:c>
      <x:c r="E4" s="64" t="str">
        <x:v>Use observed value; leave missing blank.</x:v>
      </x:c>
    </x:row>
    <x:row r="5">
      <x:c r="A5" s="63" t="str">
        <x:v>real_gdp_growth_percent</x:v>
      </x:c>
      <x:c r="B5" s="44" t="n">
        <x:v>48</x:v>
      </x:c>
      <x:c r="C5" s="44" t="n">
        <x:v>48</x:v>
      </x:c>
      <x:c r="D5" s="44" t="n">
        <x:v>0</x:v>
      </x:c>
      <x:c r="E5" s="64" t="str">
        <x:v>Use observed value; leave missing blank.</x:v>
      </x:c>
    </x:row>
    <x:row r="6">
      <x:c r="A6" s="63" t="str">
        <x:v>unemployment_percent_labor_force</x:v>
      </x:c>
      <x:c r="B6" s="44" t="n">
        <x:v>48</x:v>
      </x:c>
      <x:c r="C6" s="44" t="n">
        <x:v>48</x:v>
      </x:c>
      <x:c r="D6" s="44" t="n">
        <x:v>0</x:v>
      </x:c>
      <x:c r="E6" s="64" t="str">
        <x:v>Use observed value; leave missing blank.</x:v>
      </x:c>
    </x:row>
    <x:row r="7">
      <x:c r="A7" s="63" t="str">
        <x:v>inflation_cpi_percent</x:v>
      </x:c>
      <x:c r="B7" s="44" t="n">
        <x:v>48</x:v>
      </x:c>
      <x:c r="C7" s="44" t="n">
        <x:v>48</x:v>
      </x:c>
      <x:c r="D7" s="44" t="n">
        <x:v>0</x:v>
      </x:c>
      <x:c r="E7" s="64" t="str">
        <x:v>Use observed value; leave missing blank.</x:v>
      </x:c>
    </x:row>
    <x:row r="8">
      <x:c r="A8" s="63" t="str">
        <x:v>rd_expenditure_percent_gdp</x:v>
      </x:c>
      <x:c r="B8" s="44" t="n">
        <x:v>48</x:v>
      </x:c>
      <x:c r="C8" s="44" t="n">
        <x:v>40</x:v>
      </x:c>
      <x:c r="D8" s="44" t="n">
        <x:v>8</x:v>
      </x:c>
      <x:c r="E8" s="64" t="str">
        <x:v>2024 unavailable for all 8 countries; latest summary uses 2023.</x:v>
      </x:c>
    </x:row>
    <x:row r="9">
      <x:c r="A9" s="63" t="str">
        <x:v>labor_productivity_constant_2021_ppp_per_employed</x:v>
      </x:c>
      <x:c r="B9" s="44" t="n">
        <x:v>48</x:v>
      </x:c>
      <x:c r="C9" s="44" t="n">
        <x:v>48</x:v>
      </x:c>
      <x:c r="D9" s="44" t="n">
        <x:v>0</x:v>
      </x:c>
      <x:c r="E9" s="64" t="str">
        <x:v>Use observed value; leave missing blank.</x:v>
      </x:c>
    </x:row>
    <x:row r="10">
      <x:c r="A10" s="63" t="str">
        <x:v>tertiary_enrollment_gross_percent</x:v>
      </x:c>
      <x:c r="B10" s="44" t="n">
        <x:v>48</x:v>
      </x:c>
      <x:c r="C10" s="44" t="n">
        <x:v>42</x:v>
      </x:c>
      <x:c r="D10" s="44" t="n">
        <x:v>6</x:v>
      </x:c>
      <x:c r="E10" s="64" t="str">
        <x:v>Use observed value; leave missing blank.</x:v>
      </x:c>
    </x:row>
    <x:row r="11">
      <x:c r="A11" s="63" t="str">
        <x:v>internet_users_percent_population</x:v>
      </x:c>
      <x:c r="B11" s="44" t="n">
        <x:v>48</x:v>
      </x:c>
      <x:c r="C11" s="44" t="n">
        <x:v>48</x:v>
      </x:c>
      <x:c r="D11" s="44" t="n">
        <x:v>0</x:v>
      </x:c>
      <x:c r="E11" s="64" t="str">
        <x:v>Use observed value; leave missing blank.</x:v>
      </x:c>
    </x:row>
    <x:row r="12">
      <x:c r="A12" s="63" t="str">
        <x:v>population_total</x:v>
      </x:c>
      <x:c r="B12" s="44" t="n">
        <x:v>48</x:v>
      </x:c>
      <x:c r="C12" s="44" t="n">
        <x:v>48</x:v>
      </x:c>
      <x:c r="D12" s="44" t="n">
        <x:v>0</x:v>
      </x:c>
      <x:c r="E12" s="64" t="str">
        <x:v>Use observed value; leave missing blank.</x:v>
      </x:c>
    </x:row>
    <x:row r="13">
      <x:c r="A13" s="63" t="str">
        <x:v>trade_percent_gdp</x:v>
      </x:c>
      <x:c r="B13" s="44" t="n">
        <x:v>48</x:v>
      </x:c>
      <x:c r="C13" s="44" t="n">
        <x:v>48</x:v>
      </x:c>
      <x:c r="D13" s="44" t="n">
        <x:v>0</x:v>
      </x:c>
      <x:c r="E13" s="64" t="str">
        <x:v>Use observed value; leave missing blank.</x:v>
      </x:c>
    </x:row>
    <x:row r="14">
      <x:c r="A14" s="63" t="str">
        <x:v>avg_full_time_adjusted_salary_eur</x:v>
      </x:c>
      <x:c r="B14" s="44" t="n">
        <x:v>48</x:v>
      </x:c>
      <x:c r="C14" s="44" t="n">
        <x:v>42</x:v>
      </x:c>
      <x:c r="D14" s="44" t="n">
        <x:v>6</x:v>
      </x:c>
      <x:c r="E14" s="64" t="str">
        <x:v>Eurostat does not provide Netherlands in this table; use OECD wage series for complete comparison.</x:v>
      </x:c>
    </x:row>
    <x:row r="15">
      <x:c r="A15" s="63" t="str">
        <x:v>tertiary_stem_graduates_per_1000</x:v>
      </x:c>
      <x:c r="B15" s="44" t="n">
        <x:v>48</x:v>
      </x:c>
      <x:c r="C15" s="44" t="n">
        <x:v>48</x:v>
      </x:c>
      <x:c r="D15" s="44" t="n">
        <x:v>0</x:v>
      </x:c>
      <x:c r="E15" s="64" t="str">
        <x:v>Use observed value; leave missing blank.</x:v>
      </x:c>
    </x:row>
    <x:row r="16">
      <x:c r="A16" s="63" t="str">
        <x:v>avg_annual_wage_constant_2025_usd_ppp</x:v>
      </x:c>
      <x:c r="B16" s="44" t="n">
        <x:v>48</x:v>
      </x:c>
      <x:c r="C16" s="44" t="n">
        <x:v>48</x:v>
      </x:c>
      <x:c r="D16" s="44" t="n">
        <x:v>0</x:v>
      </x:c>
      <x:c r="E16" s="64" t="str">
        <x:v>Use observed value; leave missing blank.</x:v>
      </x:c>
    </x:row>
    <x:row r="17">
      <x:c r="A17" s="65" t="str">
        <x:v>avg_annual_wage_eur</x:v>
      </x:c>
      <x:c r="B17" s="66" t="n">
        <x:v>48</x:v>
      </x:c>
      <x:c r="C17" s="66" t="n">
        <x:v>36</x:v>
      </x:c>
      <x:c r="D17" s="66" t="n">
        <x:v>12</x:v>
      </x:c>
      <x:c r="E17" s="67" t="str">
        <x:v>EUR series unavailable for Czechia and Sweden; PPP series is complete.</x:v>
      </x:c>
    </x:row>
  </x:sheetData>
  <x:mergeCells>
    <x:mergeCell ref="A1:E1"/>
  </x:mergeCells>
  <x:conditionalFormatting sqref="D4:D17">
    <x:cfRule type="cellIs" dxfId="0" priority="1" operator="greaterThan">
      <x:formula>0</x:formula>
    </x:cfRule>
  </x:conditionalFormatting>
  <x:pageMargins left="0.7" right="0.7" top="0.75" bottom="0.75" header="0.3" footer="0.3"/>
</x:worksheet>
</file>